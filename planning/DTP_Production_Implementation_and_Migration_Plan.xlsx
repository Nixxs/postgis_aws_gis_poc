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Development\postgis_aws_gis_poc\planning\"/>
    </mc:Choice>
  </mc:AlternateContent>
  <xr:revisionPtr revIDLastSave="0" documentId="13_ncr:1_{ED611359-59CE-476E-8FAD-5D2A428A32E5}" xr6:coauthVersionLast="47" xr6:coauthVersionMax="47" xr10:uidLastSave="{00000000-0000-0000-0000-000000000000}"/>
  <bookViews>
    <workbookView xWindow="1530" yWindow="1725" windowWidth="35085" windowHeight="19875" xr2:uid="{00000000-000D-0000-FFFF-FFFF00000000}"/>
  </bookViews>
  <sheets>
    <sheet name="Implementation Plan" sheetId="1" r:id="rId1"/>
    <sheet name="Holidays" sheetId="2" r:id="rId2"/>
    <sheet name="Plan Notes" sheetId="3" r:id="rId3"/>
    <sheet name="Validation" sheetId="4" state="hidden" r:id="rId4"/>
  </sheets>
  <definedNames>
    <definedName name="_xlnm._FilterDatabase" localSheetId="0" hidden="1">'Implementation Plan'!$A$4:$K$46</definedName>
    <definedName name="_xlnm.Print_Area" localSheetId="0">'Implementation Plan'!$A$1:$K$46</definedName>
    <definedName name="_xlnm.Print_Titles" localSheetId="0">'Implementation Plan'!$1:$4</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1" i="1" l="1"/>
  <c r="C37" i="1"/>
  <c r="C33" i="1" s="1"/>
  <c r="C28" i="1"/>
  <c r="D26" i="1"/>
  <c r="C23" i="1"/>
  <c r="C18" i="1"/>
  <c r="C14" i="1"/>
  <c r="C9" i="1"/>
  <c r="D8" i="1"/>
  <c r="E7" i="1"/>
  <c r="F7" i="1" s="1"/>
  <c r="C6" i="1"/>
  <c r="E8" i="1" l="1"/>
  <c r="C5" i="1"/>
  <c r="B2" i="4" s="1"/>
  <c r="B3" i="4" s="1"/>
  <c r="F8" i="1" l="1"/>
  <c r="E6" i="1"/>
  <c r="F6" i="1" l="1"/>
  <c r="D6" i="1" s="1"/>
  <c r="E10" i="1"/>
  <c r="F10" i="1" l="1"/>
  <c r="E11" i="1" l="1"/>
  <c r="F11" i="1" l="1"/>
  <c r="E12" i="1" l="1"/>
  <c r="F12" i="1" l="1"/>
  <c r="E13" i="1" l="1"/>
  <c r="E9" i="1" l="1"/>
  <c r="F13" i="1"/>
  <c r="F9" i="1" l="1"/>
  <c r="D9" i="1" s="1"/>
  <c r="E19" i="1"/>
  <c r="E15" i="1"/>
  <c r="F19" i="1" l="1"/>
  <c r="F15" i="1"/>
  <c r="E20" i="1" l="1"/>
  <c r="E16" i="1"/>
  <c r="F20" i="1" l="1"/>
  <c r="F16" i="1"/>
  <c r="E21" i="1" l="1"/>
  <c r="E17" i="1"/>
  <c r="F21" i="1" l="1"/>
  <c r="E14" i="1"/>
  <c r="F17" i="1"/>
  <c r="E22" i="1" l="1"/>
  <c r="F14" i="1"/>
  <c r="D14" i="1" s="1"/>
  <c r="E24" i="1"/>
  <c r="E18" i="1" l="1"/>
  <c r="F22" i="1"/>
  <c r="F18" i="1" s="1"/>
  <c r="F24" i="1"/>
  <c r="D18" i="1" l="1"/>
  <c r="E25" i="1"/>
  <c r="F25" i="1" l="1"/>
  <c r="E26" i="1" l="1"/>
  <c r="F26" i="1" l="1"/>
  <c r="E27" i="1" l="1"/>
  <c r="E23" i="1" l="1"/>
  <c r="F27" i="1"/>
  <c r="F23" i="1" l="1"/>
  <c r="D23" i="1" s="1"/>
  <c r="E29" i="1"/>
  <c r="E34" i="1"/>
  <c r="F29" i="1" l="1"/>
  <c r="F34" i="1"/>
  <c r="E30" i="1" l="1"/>
  <c r="F30" i="1" l="1"/>
  <c r="E31" i="1" l="1"/>
  <c r="F31" i="1" l="1"/>
  <c r="E32" i="1" l="1"/>
  <c r="E28" i="1" l="1"/>
  <c r="F32" i="1"/>
  <c r="F28" i="1" l="1"/>
  <c r="D28" i="1" s="1"/>
  <c r="E35" i="1"/>
  <c r="F35" i="1" l="1"/>
  <c r="E36" i="1" l="1"/>
  <c r="F36" i="1" l="1"/>
  <c r="E37" i="1" l="1"/>
  <c r="F37" i="1" l="1"/>
  <c r="E38" i="1" l="1"/>
  <c r="F38" i="1" s="1"/>
  <c r="E39" i="1" s="1"/>
  <c r="F39" i="1" s="1"/>
  <c r="E40" i="1" l="1"/>
  <c r="B4" i="4"/>
  <c r="J2" i="1"/>
  <c r="E33" i="1" l="1"/>
  <c r="F40" i="1"/>
  <c r="F33" i="1" l="1"/>
  <c r="D33" i="1" s="1"/>
  <c r="E42" i="1"/>
  <c r="F42" i="1" l="1"/>
  <c r="E43" i="1" l="1"/>
  <c r="F43" i="1" l="1"/>
  <c r="E44" i="1" l="1"/>
  <c r="F44" i="1" l="1"/>
  <c r="E45" i="1" l="1"/>
  <c r="F45" i="1" l="1"/>
  <c r="E46" i="1" l="1"/>
  <c r="E41" i="1" l="1"/>
  <c r="E5" i="1" s="1"/>
  <c r="F46" i="1"/>
  <c r="F41" i="1" l="1"/>
  <c r="D41" i="1" l="1"/>
  <c r="F5" i="1"/>
  <c r="D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GitHub Copilot</author>
  </authors>
  <commentList>
    <comment ref="B1" authorId="0" shapeId="0" xr:uid="{00000000-0006-0000-0000-000001000000}">
      <text>
        <r>
          <rPr>
            <sz val="11"/>
            <color theme="1"/>
            <rFont val="Calibri"/>
            <family val="2"/>
            <scheme val="minor"/>
          </rPr>
          <t>Change this cell to reschedule the whole predecessor-driven plan.</t>
        </r>
      </text>
    </comment>
    <comment ref="E1" authorId="0" shapeId="0" xr:uid="{00000000-0006-0000-0000-000002000000}">
      <text>
        <r>
          <rPr>
            <sz val="11"/>
            <color theme="1"/>
            <rFont val="Calibri"/>
            <family val="2"/>
            <scheme val="minor"/>
          </rPr>
          <t>Default is the final working day of July 2027. The Target Status compares Go Live with this date.</t>
        </r>
      </text>
    </comment>
    <comment ref="H1" authorId="0" shapeId="0" xr:uid="{00000000-0006-0000-0000-000003000000}">
      <text>
        <r>
          <rPr>
            <sz val="11"/>
            <color theme="1"/>
            <rFont val="Calibri"/>
            <family val="2"/>
            <scheme val="minor"/>
          </rPr>
          <t>Used for the two consolidated client review gates.</t>
        </r>
      </text>
    </comment>
  </commentList>
</comments>
</file>

<file path=xl/sharedStrings.xml><?xml version="1.0" encoding="utf-8"?>
<sst xmlns="http://schemas.openxmlformats.org/spreadsheetml/2006/main" count="314" uniqueCount="205">
  <si>
    <t>Project Start Date</t>
  </si>
  <si>
    <t>Production Go-Live Target</t>
  </si>
  <si>
    <t>Client Review Window (days)</t>
  </si>
  <si>
    <t>ROM Contingency</t>
  </si>
  <si>
    <t>Change the yellow start date or target date. Task dates recalculate using Monday-Friday workdays and optional dates on the Holidays sheet.</t>
  </si>
  <si>
    <t>Target Status</t>
  </si>
  <si>
    <t>WBS</t>
  </si>
  <si>
    <t>Task Name</t>
  </si>
  <si>
    <t>Effort Hours</t>
  </si>
  <si>
    <t>Start</t>
  </si>
  <si>
    <t>Finish</t>
  </si>
  <si>
    <t>Predecessor</t>
  </si>
  <si>
    <t>Resource Names</t>
  </si>
  <si>
    <t>Outcome / Deliverable</t>
  </si>
  <si>
    <t>Status</t>
  </si>
  <si>
    <t>Release</t>
  </si>
  <si>
    <t>1</t>
  </si>
  <si>
    <t>Production GIS Application Implementation and Migration</t>
  </si>
  <si>
    <t>Usable production release by July 2027; specialist workflows continue afterwards.</t>
  </si>
  <si>
    <t>1.1</t>
  </si>
  <si>
    <t>Confirm Scope and Priorities</t>
  </si>
  <si>
    <t>Summary of confirm scope and priorities activities.</t>
  </si>
  <si>
    <t>Scope Baseline</t>
  </si>
  <si>
    <t>1.1.1</t>
  </si>
  <si>
    <t>Confirm required tools, datasets and first production release</t>
  </si>
  <si>
    <t>PM, PD, Design, Frontend, Backend</t>
  </si>
  <si>
    <t>Prioritised production scope, dataset list and documented assumptions.</t>
  </si>
  <si>
    <t>Not Started</t>
  </si>
  <si>
    <t>1.1.2</t>
  </si>
  <si>
    <t>Approve scope baseline and change-control approach</t>
  </si>
  <si>
    <t>PM, PD</t>
  </si>
  <si>
    <t>Single client approval gate; subsequent changes are assessed through change control.</t>
  </si>
  <si>
    <t>1.2</t>
  </si>
  <si>
    <t>Establish Production Foundation</t>
  </si>
  <si>
    <t>Summary of establish production foundation activities.</t>
  </si>
  <si>
    <t>Foundation</t>
  </si>
  <si>
    <t>1.2.1</t>
  </si>
  <si>
    <t>Set up environments and automated deployment</t>
  </si>
  <si>
    <t>Backend, Frontend</t>
  </si>
  <si>
    <t>Development, test and production environments with repeatable deployment.</t>
  </si>
  <si>
    <t>1.2.2</t>
  </si>
  <si>
    <t>Create PostGIS and backend application foundation</t>
  </si>
  <si>
    <t>Backend, Frontend, Design, PM</t>
  </si>
  <si>
    <t>Production database and deployable backend application foundation.</t>
  </si>
  <si>
    <t>1.2.3</t>
  </si>
  <si>
    <t>Implement authentication, configuration and operations</t>
  </si>
  <si>
    <t>Backend, Frontend, PM</t>
  </si>
  <si>
    <t>Authentication, basic authorisation, logging, monitoring, backups and configuration.</t>
  </si>
  <si>
    <t>1.2.4</t>
  </si>
  <si>
    <t>Secure production foundation ready</t>
  </si>
  <si>
    <t>Milestone: a secure, mostly empty application can be deployed reliably.</t>
  </si>
  <si>
    <t>1.3</t>
  </si>
  <si>
    <t>Build Data Pipeline and Core API</t>
  </si>
  <si>
    <t>Summary of build data pipeline and core api activities.</t>
  </si>
  <si>
    <t>Data/API Ready</t>
  </si>
  <si>
    <t>1.3.1</t>
  </si>
  <si>
    <t>Build spatial data loading and publishing pipeline</t>
  </si>
  <si>
    <t>Backend, PM</t>
  </si>
  <si>
    <t>Validated data loading into PostGIS, catalogue publication and cached MapLibre tiles.</t>
  </si>
  <si>
    <t>1.3.2</t>
  </si>
  <si>
    <t>Build shared spatial API and ArcGIS authoring integration</t>
  </si>
  <si>
    <t>Backend, Design, .NET</t>
  </si>
  <si>
    <t>Shared query, search, identify and spatial operations plus configuration authoring support.</t>
  </si>
  <si>
    <t>1.3.3</t>
  </si>
  <si>
    <t>Publish initial production datasets</t>
  </si>
  <si>
    <t>Milestone: representative public and restricted datasets are available end to end.</t>
  </si>
  <si>
    <t>1.4</t>
  </si>
  <si>
    <t>Build the Frontend Application Shell</t>
  </si>
  <si>
    <t>Summary of build the frontend application shell activities.</t>
  </si>
  <si>
    <t>Working Application</t>
  </si>
  <si>
    <t>1.4.1</t>
  </si>
  <si>
    <t>Build MapLibre shell, ribbon, map and empty panels</t>
  </si>
  <si>
    <t>Frontend, Backend, Design, PM</t>
  </si>
  <si>
    <t>MapLibre application with Home, Map, Tools and Advanced Tools structure.</t>
  </si>
  <si>
    <t>1.4.2</t>
  </si>
  <si>
    <t>Connect login, catalogue, map data and user state</t>
  </si>
  <si>
    <t>Frontend</t>
  </si>
  <si>
    <t>Authenticated working map connected to published data and shared services.</t>
  </si>
  <si>
    <t>1.4.3</t>
  </si>
  <si>
    <t>Verify deployable working application</t>
  </si>
  <si>
    <t>Frontend, Backend, Testing</t>
  </si>
  <si>
    <t>Working application in each environment, ready for incremental tools.</t>
  </si>
  <si>
    <t>1.4.4</t>
  </si>
  <si>
    <t>Frontend foundation ready</t>
  </si>
  <si>
    <t>Milestone: working application foundation available early in delivery.</t>
  </si>
  <si>
    <t>1.5</t>
  </si>
  <si>
    <t>Deliver Core Map Tools</t>
  </si>
  <si>
    <t>Summary of deliver core map tools activities.</t>
  </si>
  <si>
    <t>Core Toolset</t>
  </si>
  <si>
    <t>1.5.1</t>
  </si>
  <si>
    <t>Search, layer catalogue, layer list and map navigation</t>
  </si>
  <si>
    <t>Frontend, Backend, Design, Testing</t>
  </si>
  <si>
    <t>Users can locate an area and manage authorised map layers.</t>
  </si>
  <si>
    <t>1.5.2</t>
  </si>
  <si>
    <t>Identify, query, table view, metadata and filtering</t>
  </si>
  <si>
    <t>Users can inspect, query, filter and work with map features and attributes.</t>
  </si>
  <si>
    <t>1.5.3</t>
  </si>
  <si>
    <t>Core tools demonstration and acceptance window</t>
  </si>
  <si>
    <t>First meaningful consolidated client review and acceptance point.</t>
  </si>
  <si>
    <t>1.5.4</t>
  </si>
  <si>
    <t>Core map tools production-ready</t>
  </si>
  <si>
    <t>Milestone: essential map workflow is ready for release.</t>
  </si>
  <si>
    <t>1.6</t>
  </si>
  <si>
    <t>Deliver General GIS Tools</t>
  </si>
  <si>
    <t>Summary of deliver general gis tools activities.</t>
  </si>
  <si>
    <t>Main Toolset</t>
  </si>
  <si>
    <t>1.6.1</t>
  </si>
  <si>
    <t>Measurement, drawing and editing</t>
  </si>
  <si>
    <t>Measurement and reusable drawing/editing capability.</t>
  </si>
  <si>
    <t>1.6.2</t>
  </si>
  <si>
    <t>Buffering, intersects, filters and property calculations</t>
  </si>
  <si>
    <t>General spatial analysis used by VicPlan and Radius workflows.</t>
  </si>
  <si>
    <t>1.6.3</t>
  </si>
  <si>
    <t>Projects, sharing, upload, export and printing</t>
  </si>
  <si>
    <t>Saved work, secure data exchange and production map outputs.</t>
  </si>
  <si>
    <t>1.6.4</t>
  </si>
  <si>
    <t>Main production toolset complete</t>
  </si>
  <si>
    <t>Milestone: main tools are available before migration and launch.</t>
  </si>
  <si>
    <t>1.7</t>
  </si>
  <si>
    <t>Migration, Acceptance and Launch</t>
  </si>
  <si>
    <t>Summary of migration, acceptance and launch activities.</t>
  </si>
  <si>
    <t>July 2027 Production</t>
  </si>
  <si>
    <t>1.7.1</t>
  </si>
  <si>
    <t>Prepare documentation and operational handover</t>
  </si>
  <si>
    <t>Frontend, Backend, .NET, PM</t>
  </si>
  <si>
    <t>User, administrator, support and technical material prepared in parallel with tool delivery.</t>
  </si>
  <si>
    <t>1.7.2</t>
  </si>
  <si>
    <t>Production hardening, regression and migration rehearsal</t>
  </si>
  <si>
    <t>Performance, security, accessibility, regression and final data/configuration rehearsal.</t>
  </si>
  <si>
    <t>1.7.3</t>
  </si>
  <si>
    <t>Consolidated UAT, training and final migration</t>
  </si>
  <si>
    <t>Frontend, Backend, Testing, PM, PD</t>
  </si>
  <si>
    <t>Business acceptance, trained users/support staff and production data ready for cutover.</t>
  </si>
  <si>
    <t>1.7.4</t>
  </si>
  <si>
    <t>Delivery contingency and remediation allowance</t>
  </si>
  <si>
    <t>Frontend, Backend, Design, .NET, Testing, PM, PD</t>
  </si>
  <si>
    <t>Budget contingency retained in the ROM; no separate delay is forced into the baseline schedule. Any use of contingency is managed through delivery forecasts.</t>
  </si>
  <si>
    <t>1.7.5</t>
  </si>
  <si>
    <t>Environment promotion and production cutover</t>
  </si>
  <si>
    <t>Frontend, Backend</t>
  </si>
  <si>
    <t>Deploy, migrate, verify and switch the supported production service.</t>
  </si>
  <si>
    <t>1.7.6</t>
  </si>
  <si>
    <t>Production Go Live</t>
  </si>
  <si>
    <t>Milestone: usable application, main tools and migration complete by the July 2027 target.</t>
  </si>
  <si>
    <t>1.7.7</t>
  </si>
  <si>
    <t>Warranty and hypercare</t>
  </si>
  <si>
    <t>Post-launch monitoring and prioritised remediation.</t>
  </si>
  <si>
    <t>1.8</t>
  </si>
  <si>
    <t>Deliver Specialist Workflows After Launch</t>
  </si>
  <si>
    <t>Summary of deliver specialist workflows after launch activities.</t>
  </si>
  <si>
    <t>Post-Launch Enhancements</t>
  </si>
  <si>
    <t>1.8.1</t>
  </si>
  <si>
    <t>Planning and heritage workflows</t>
  </si>
  <si>
    <t>Amendment Search, Heritage Overlay Search, Definition Plan and AMG Coordinate Tool.</t>
  </si>
  <si>
    <t>1.8.2</t>
  </si>
  <si>
    <t>Advanced summary workflows</t>
  </si>
  <si>
    <t>Redevelopment, Broadhectare, HDD and Heritage Bushfire summaries.</t>
  </si>
  <si>
    <t>1.8.3</t>
  </si>
  <si>
    <t>Imagery, time slider and Street View</t>
  </si>
  <si>
    <t>Remaining imagery, temporal and external map integrations.</t>
  </si>
  <si>
    <t>1.8.4</t>
  </si>
  <si>
    <t>Post-launch enhancement release</t>
  </si>
  <si>
    <t>Regression and controlled production enablement of specialist tools.</t>
  </si>
  <si>
    <t>1.8.5</t>
  </si>
  <si>
    <t>Implementation complete</t>
  </si>
  <si>
    <t>Milestone: agreed post-launch enhancements delivered and handed over.</t>
  </si>
  <si>
    <t>Excluded Work Date</t>
  </si>
  <si>
    <t>Description</t>
  </si>
  <si>
    <t>Melbourne Cup Day</t>
  </si>
  <si>
    <t>Christmas Day</t>
  </si>
  <si>
    <t>Boxing Day substitute</t>
  </si>
  <si>
    <t>New Year's Day</t>
  </si>
  <si>
    <t>Australia Day</t>
  </si>
  <si>
    <t>Labour Day</t>
  </si>
  <si>
    <t>Good Friday</t>
  </si>
  <si>
    <t>Easter Monday</t>
  </si>
  <si>
    <t>ANZAC Day substitute</t>
  </si>
  <si>
    <t>King's Birthday</t>
  </si>
  <si>
    <t>Topic</t>
  </si>
  <si>
    <t>Detail</t>
  </si>
  <si>
    <t>Delivery objective</t>
  </si>
  <si>
    <t>A usable migrated production application containing the core and general GIS tools is targeted for July 2027.</t>
  </si>
  <si>
    <t>Map technology</t>
  </si>
  <si>
    <t>The production map client is MapLibre.</t>
  </si>
  <si>
    <t>Working foundation</t>
  </si>
  <si>
    <t>The secure platform, data path and empty application shell are delivered early so the application remains deployable throughout development.</t>
  </si>
  <si>
    <t>Pre-launch tools</t>
  </si>
  <si>
    <t>Search, catalogue, layer management, identify, query, table, navigation, metadata/filtering, measurement, drawing, spatial analysis, projects, upload/export and printing are scheduled before Go Live.</t>
  </si>
  <si>
    <t>Post-launch tools</t>
  </si>
  <si>
    <t>Planning/heritage workflows, advanced summaries, imagery search, time slider and Street View are scheduled after Go Live and released incrementally.</t>
  </si>
  <si>
    <t>Client feedback</t>
  </si>
  <si>
    <t>Feedback is batched into scope approval, core-tool acceptance and consolidated UAT rather than requested for every tool.</t>
  </si>
  <si>
    <t>Small-team model</t>
  </si>
  <si>
    <t>The plan is mostly sequential, with only the data/API and frontend foundations overlapping where the backend and frontend developers can work independently.</t>
  </si>
  <si>
    <t>Estimate alignment</t>
  </si>
  <si>
    <t>Base estimate is 5,828 hours. The editable 20% contingency is 1,166 hours, producing 6,994 hours.</t>
  </si>
  <si>
    <t>Scheduling</t>
  </si>
  <si>
    <t>Change the yellow Project Start Date. Predecessors, weekdays and the Holidays sheet drive all dates.</t>
  </si>
  <si>
    <t>Check</t>
  </si>
  <si>
    <t>Formula</t>
  </si>
  <si>
    <t>Expected</t>
  </si>
  <si>
    <t>Total effort</t>
  </si>
  <si>
    <t>Base effort</t>
  </si>
  <si>
    <t>Go Live target</t>
  </si>
  <si>
    <t>Duration (Working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</si>
</sst>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d\ d/mm/yy"/>
    <numFmt numFmtId="165" formatCode="yyyy\-mm\-dd"/>
  </numFmts>
  <fonts count="5" x14ac:knownFonts="1">
    <font>
      <sz val="11"/>
      <color theme="1"/>
      <name val="Calibri"/>
      <family val="2"/>
      <scheme val="minor"/>
    </font>
    <font>
      <b/>
      <sz val="11"/>
      <color rgb="FFFFFFFF"/>
      <name val="Calibri"/>
    </font>
    <font>
      <b/>
      <sz val="11"/>
      <name val="Calibri"/>
    </font>
    <font>
      <i/>
      <sz val="11"/>
      <color rgb="FF666666"/>
      <name val="Calibri"/>
    </font>
    <font>
      <b/>
      <sz val="11"/>
      <color rgb="FF008000"/>
      <name val="Calibri"/>
    </font>
  </fonts>
  <fills count="9">
    <fill>
      <patternFill patternType="none"/>
    </fill>
    <fill>
      <patternFill patternType="gray125"/>
    </fill>
    <fill>
      <patternFill patternType="solid">
        <fgColor rgb="FF1F4E78"/>
      </patternFill>
    </fill>
    <fill>
      <patternFill patternType="solid">
        <fgColor rgb="FFFFF2CC"/>
      </patternFill>
    </fill>
    <fill>
      <patternFill patternType="solid">
        <fgColor rgb="FFFCE4D6"/>
      </patternFill>
    </fill>
    <fill>
      <patternFill patternType="solid">
        <fgColor rgb="FFD9EAD3"/>
      </patternFill>
    </fill>
    <fill>
      <patternFill patternType="solid">
        <fgColor rgb="FFE2F0D9"/>
      </patternFill>
    </fill>
    <fill>
      <patternFill patternType="solid">
        <fgColor rgb="FFDDEBF7"/>
      </patternFill>
    </fill>
    <fill>
      <patternFill patternType="solid"/>
    </fill>
  </fills>
  <borders count="2">
    <border>
      <left/>
      <right/>
      <top/>
      <bottom/>
      <diagonal/>
    </border>
    <border>
      <left/>
      <right/>
      <top/>
      <bottom style="thin">
        <color rgb="FFB4C6E7"/>
      </bottom>
      <diagonal/>
    </border>
  </borders>
  <cellStyleXfs count="1">
    <xf numFmtId="0" fontId="0" fillId="0" borderId="0"/>
  </cellStyleXfs>
  <cellXfs count="36">
    <xf numFmtId="0" fontId="0" fillId="0" borderId="0" xfId="0"/>
    <xf numFmtId="0" fontId="2" fillId="0" borderId="0" xfId="0" applyFont="1"/>
    <xf numFmtId="164" fontId="2" fillId="3" borderId="0" xfId="0" applyNumberFormat="1" applyFont="1" applyFill="1"/>
    <xf numFmtId="0" fontId="2" fillId="3" borderId="0" xfId="0" applyFont="1" applyFill="1"/>
    <xf numFmtId="9" fontId="2" fillId="3" borderId="0" xfId="0" applyNumberFormat="1" applyFont="1" applyFill="1"/>
    <xf numFmtId="0" fontId="1" fillId="2" borderId="1" xfId="0" applyFont="1" applyFill="1" applyBorder="1" applyAlignment="1">
      <alignment vertical="top" wrapText="1"/>
    </xf>
    <xf numFmtId="0" fontId="1" fillId="8" borderId="1" xfId="0" applyFont="1" applyFill="1" applyBorder="1" applyAlignment="1">
      <alignment vertical="top" wrapText="1"/>
    </xf>
    <xf numFmtId="1" fontId="1" fillId="8" borderId="1" xfId="0" applyNumberFormat="1" applyFont="1" applyFill="1" applyBorder="1" applyAlignment="1">
      <alignment vertical="top" wrapText="1"/>
    </xf>
    <xf numFmtId="164" fontId="1" fillId="8" borderId="1" xfId="0" applyNumberFormat="1" applyFont="1" applyFill="1" applyBorder="1" applyAlignment="1">
      <alignment vertical="top" wrapText="1"/>
    </xf>
    <xf numFmtId="0" fontId="2" fillId="5" borderId="1" xfId="0" applyFont="1" applyFill="1" applyBorder="1" applyAlignment="1">
      <alignment vertical="top" wrapText="1"/>
    </xf>
    <xf numFmtId="1" fontId="2" fillId="5" borderId="1" xfId="0" applyNumberFormat="1" applyFont="1" applyFill="1" applyBorder="1" applyAlignment="1">
      <alignment vertical="top" wrapText="1"/>
    </xf>
    <xf numFmtId="164" fontId="2" fillId="5" borderId="1" xfId="0" applyNumberFormat="1" applyFont="1" applyFill="1" applyBorder="1" applyAlignment="1">
      <alignment vertical="top" wrapText="1"/>
    </xf>
    <xf numFmtId="0" fontId="0" fillId="0" borderId="1" xfId="0" applyBorder="1" applyAlignment="1">
      <alignment vertical="top" wrapText="1"/>
    </xf>
    <xf numFmtId="1" fontId="0" fillId="0" borderId="1" xfId="0" applyNumberFormat="1" applyBorder="1" applyAlignment="1">
      <alignment vertical="top" wrapText="1"/>
    </xf>
    <xf numFmtId="164" fontId="0" fillId="0" borderId="1" xfId="0" applyNumberFormat="1" applyBorder="1" applyAlignment="1">
      <alignment vertical="top" wrapText="1"/>
    </xf>
    <xf numFmtId="0" fontId="0" fillId="4" borderId="1" xfId="0" applyFill="1" applyBorder="1" applyAlignment="1">
      <alignment vertical="top" wrapText="1"/>
    </xf>
    <xf numFmtId="1" fontId="0" fillId="4" borderId="1" xfId="0" applyNumberFormat="1" applyFill="1" applyBorder="1" applyAlignment="1">
      <alignment vertical="top" wrapText="1"/>
    </xf>
    <xf numFmtId="164" fontId="0" fillId="4" borderId="1" xfId="0" applyNumberFormat="1" applyFill="1" applyBorder="1" applyAlignment="1">
      <alignment vertical="top" wrapText="1"/>
    </xf>
    <xf numFmtId="0" fontId="0" fillId="6" borderId="1" xfId="0" applyFill="1" applyBorder="1" applyAlignment="1">
      <alignment vertical="top" wrapText="1"/>
    </xf>
    <xf numFmtId="0" fontId="4" fillId="6" borderId="1" xfId="0" applyFont="1" applyFill="1" applyBorder="1" applyAlignment="1">
      <alignment vertical="top" wrapText="1"/>
    </xf>
    <xf numFmtId="1" fontId="0" fillId="6" borderId="1" xfId="0" applyNumberFormat="1" applyFill="1" applyBorder="1" applyAlignment="1">
      <alignment vertical="top" wrapText="1"/>
    </xf>
    <xf numFmtId="164" fontId="0" fillId="6" borderId="1" xfId="0" applyNumberFormat="1" applyFill="1" applyBorder="1" applyAlignment="1">
      <alignment vertical="top" wrapText="1"/>
    </xf>
    <xf numFmtId="0" fontId="0" fillId="7" borderId="1" xfId="0" applyFill="1" applyBorder="1" applyAlignment="1">
      <alignment vertical="top" wrapText="1"/>
    </xf>
    <xf numFmtId="1" fontId="0" fillId="7" borderId="1" xfId="0" applyNumberFormat="1" applyFill="1" applyBorder="1" applyAlignment="1">
      <alignment vertical="top" wrapText="1"/>
    </xf>
    <xf numFmtId="164" fontId="0" fillId="7" borderId="1" xfId="0" applyNumberFormat="1" applyFill="1" applyBorder="1" applyAlignment="1">
      <alignment vertical="top" wrapText="1"/>
    </xf>
    <xf numFmtId="0" fontId="1" fillId="2" borderId="0" xfId="0" applyFont="1" applyFill="1"/>
    <xf numFmtId="164" fontId="0" fillId="0" borderId="0" xfId="0" applyNumberFormat="1"/>
    <xf numFmtId="0" fontId="1" fillId="2" borderId="0" xfId="0" applyFont="1" applyFill="1" applyAlignment="1">
      <alignment vertical="top" wrapText="1"/>
    </xf>
    <xf numFmtId="0" fontId="0" fillId="0" borderId="0" xfId="0" applyAlignment="1">
      <alignment vertical="top" wrapText="1"/>
    </xf>
    <xf numFmtId="165" fontId="0" fillId="0" borderId="0" xfId="0" applyNumberFormat="1"/>
    <xf numFmtId="0" fontId="2" fillId="3" borderId="1" xfId="0" applyFont="1" applyFill="1" applyBorder="1" applyAlignment="1">
      <alignment vertical="top" wrapText="1"/>
    </xf>
    <xf numFmtId="1" fontId="2" fillId="3" borderId="1" xfId="0" applyNumberFormat="1" applyFont="1" applyFill="1" applyBorder="1" applyAlignment="1">
      <alignment vertical="top" wrapText="1"/>
    </xf>
    <xf numFmtId="164" fontId="2" fillId="3" borderId="1" xfId="0" applyNumberFormat="1" applyFont="1" applyFill="1" applyBorder="1" applyAlignment="1">
      <alignment vertical="top" wrapText="1"/>
    </xf>
    <xf numFmtId="0" fontId="2" fillId="0" borderId="0" xfId="0" applyFont="1" applyAlignment="1">
      <alignment horizontal="center"/>
    </xf>
    <xf numFmtId="0" fontId="0" fillId="0" borderId="0" xfId="0"/>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46"/>
  <sheetViews>
    <sheetView showGridLines="0" tabSelected="1" workbookViewId="0">
      <pane xSplit="2" ySplit="4" topLeftCell="C5" activePane="bottomRight" state="frozen"/>
      <selection pane="topRight"/>
      <selection pane="bottomLeft"/>
      <selection pane="bottomRight" activeCell="D19" sqref="D19"/>
    </sheetView>
  </sheetViews>
  <sheetFormatPr defaultRowHeight="15" outlineLevelRow="1" x14ac:dyDescent="0.25"/>
  <cols>
    <col min="1" max="1" width="12" customWidth="1"/>
    <col min="2" max="2" width="47" customWidth="1"/>
    <col min="3" max="3" width="13" customWidth="1"/>
    <col min="4" max="4" width="24.7109375" customWidth="1"/>
    <col min="5" max="6" width="15" customWidth="1"/>
    <col min="7" max="7" width="27" customWidth="1"/>
    <col min="8" max="8" width="35" customWidth="1"/>
    <col min="9" max="9" width="79" customWidth="1"/>
    <col min="10" max="10" width="16" customWidth="1"/>
    <col min="11" max="11" width="23" customWidth="1"/>
  </cols>
  <sheetData>
    <row r="1" spans="1:11" x14ac:dyDescent="0.25">
      <c r="A1" s="1" t="s">
        <v>0</v>
      </c>
      <c r="B1" s="2">
        <v>46286</v>
      </c>
      <c r="D1" s="1" t="s">
        <v>1</v>
      </c>
      <c r="E1" s="2">
        <v>46598</v>
      </c>
      <c r="G1" s="1" t="s">
        <v>2</v>
      </c>
      <c r="H1" s="3">
        <v>5</v>
      </c>
      <c r="J1" s="1" t="s">
        <v>3</v>
      </c>
      <c r="K1" s="4">
        <v>0.2</v>
      </c>
    </row>
    <row r="2" spans="1:11" x14ac:dyDescent="0.25">
      <c r="A2" s="35" t="s">
        <v>4</v>
      </c>
      <c r="B2" s="34"/>
      <c r="C2" s="34"/>
      <c r="D2" s="34"/>
      <c r="E2" s="34"/>
      <c r="F2" s="34"/>
      <c r="G2" s="34"/>
      <c r="H2" s="34"/>
      <c r="I2" s="1" t="s">
        <v>5</v>
      </c>
      <c r="J2" s="33" t="str">
        <f>IF(F39&lt;=$E$1,"ON OR BEFORE TARGET","AFTER TARGET")</f>
        <v>ON OR BEFORE TARGET</v>
      </c>
      <c r="K2" s="34"/>
    </row>
    <row r="4" spans="1:11" ht="32.1" customHeight="1" x14ac:dyDescent="0.25">
      <c r="A4" s="5" t="s">
        <v>6</v>
      </c>
      <c r="B4" s="5" t="s">
        <v>7</v>
      </c>
      <c r="C4" s="5" t="s">
        <v>8</v>
      </c>
      <c r="D4" s="5" t="s">
        <v>204</v>
      </c>
      <c r="E4" s="5" t="s">
        <v>9</v>
      </c>
      <c r="F4" s="5" t="s">
        <v>10</v>
      </c>
      <c r="G4" s="5" t="s">
        <v>11</v>
      </c>
      <c r="H4" s="5" t="s">
        <v>12</v>
      </c>
      <c r="I4" s="5" t="s">
        <v>13</v>
      </c>
      <c r="J4" s="5" t="s">
        <v>14</v>
      </c>
      <c r="K4" s="5" t="s">
        <v>15</v>
      </c>
    </row>
    <row r="5" spans="1:11" ht="30" x14ac:dyDescent="0.25">
      <c r="A5" s="6" t="s">
        <v>16</v>
      </c>
      <c r="B5" s="6" t="s">
        <v>17</v>
      </c>
      <c r="C5" s="7">
        <f>SUM(C6,C9,C14,C18,C23,C28,C33,C41)</f>
        <v>6994</v>
      </c>
      <c r="D5" s="7">
        <f>NETWORKDAYS.INTL(E5,F5,1,Holidays!$A$2:$A$100)</f>
        <v>289</v>
      </c>
      <c r="E5" s="8">
        <f>MIN(E6:E46)</f>
        <v>46286</v>
      </c>
      <c r="F5" s="8">
        <f>MAX(F6:F46)</f>
        <v>46702</v>
      </c>
      <c r="G5" s="6"/>
      <c r="H5" s="6"/>
      <c r="I5" s="6" t="s">
        <v>18</v>
      </c>
      <c r="J5" s="6"/>
      <c r="K5" s="6"/>
    </row>
    <row r="6" spans="1:11" x14ac:dyDescent="0.25">
      <c r="A6" s="9" t="s">
        <v>19</v>
      </c>
      <c r="B6" s="9" t="s">
        <v>20</v>
      </c>
      <c r="C6" s="10">
        <f>SUM(C7:C8)</f>
        <v>240</v>
      </c>
      <c r="D6" s="10">
        <f>NETWORKDAYS.INTL(E6,F6,1,Holidays!$A$2:$A$100)</f>
        <v>15</v>
      </c>
      <c r="E6" s="11">
        <f>MIN(E7:E8)</f>
        <v>46286</v>
      </c>
      <c r="F6" s="11">
        <f>MAX(F7:F8)</f>
        <v>46304</v>
      </c>
      <c r="G6" s="9"/>
      <c r="H6" s="9"/>
      <c r="I6" s="9" t="s">
        <v>21</v>
      </c>
      <c r="J6" s="9"/>
      <c r="K6" s="9" t="s">
        <v>22</v>
      </c>
    </row>
    <row r="7" spans="1:11" ht="30" outlineLevel="1" x14ac:dyDescent="0.25">
      <c r="A7" s="12" t="s">
        <v>23</v>
      </c>
      <c r="B7" s="12" t="s">
        <v>24</v>
      </c>
      <c r="C7" s="13">
        <v>160</v>
      </c>
      <c r="D7" s="13">
        <v>10</v>
      </c>
      <c r="E7" s="14">
        <f>IF(G7="",$B$1,WORKDAY.INTL(INDEX($F:$F,MATCH(G7,$A:$A,0)),1,1,Holidays!$A$2:$A$100))</f>
        <v>46286</v>
      </c>
      <c r="F7" s="14">
        <f>IF(D7=0,E7,WORKDAY.INTL(E7,D7-1,1,Holidays!$A$2:$A$100))</f>
        <v>46297</v>
      </c>
      <c r="G7" s="12"/>
      <c r="H7" s="12" t="s">
        <v>25</v>
      </c>
      <c r="I7" s="12" t="s">
        <v>26</v>
      </c>
      <c r="J7" s="12" t="s">
        <v>27</v>
      </c>
      <c r="K7" s="12" t="s">
        <v>22</v>
      </c>
    </row>
    <row r="8" spans="1:11" ht="30" outlineLevel="1" x14ac:dyDescent="0.25">
      <c r="A8" s="15" t="s">
        <v>28</v>
      </c>
      <c r="B8" s="15" t="s">
        <v>29</v>
      </c>
      <c r="C8" s="16">
        <v>80</v>
      </c>
      <c r="D8" s="16">
        <f>$H$1</f>
        <v>5</v>
      </c>
      <c r="E8" s="17">
        <f>IF(G8="",$B$1,WORKDAY.INTL(INDEX($F:$F,MATCH(G8,$A:$A,0)),1,1,Holidays!$A$2:$A$100))</f>
        <v>46300</v>
      </c>
      <c r="F8" s="17">
        <f>IF(D8=0,E8,WORKDAY.INTL(E8,D8-1,1,Holidays!$A$2:$A$100))</f>
        <v>46304</v>
      </c>
      <c r="G8" s="15" t="s">
        <v>23</v>
      </c>
      <c r="H8" s="15" t="s">
        <v>30</v>
      </c>
      <c r="I8" s="15" t="s">
        <v>31</v>
      </c>
      <c r="J8" s="15" t="s">
        <v>27</v>
      </c>
      <c r="K8" s="15" t="s">
        <v>22</v>
      </c>
    </row>
    <row r="9" spans="1:11" x14ac:dyDescent="0.25">
      <c r="A9" s="9" t="s">
        <v>32</v>
      </c>
      <c r="B9" s="9" t="s">
        <v>33</v>
      </c>
      <c r="C9" s="10">
        <f>SUM(C10:C13)</f>
        <v>492</v>
      </c>
      <c r="D9" s="10">
        <f>NETWORKDAYS.INTL(E9,F9,1,Holidays!$A$2:$A$100)</f>
        <v>51</v>
      </c>
      <c r="E9" s="11">
        <f>MIN(E10:E13)</f>
        <v>46307</v>
      </c>
      <c r="F9" s="11">
        <f>MAX(F10:F13)</f>
        <v>46378</v>
      </c>
      <c r="G9" s="9"/>
      <c r="H9" s="9"/>
      <c r="I9" s="9" t="s">
        <v>34</v>
      </c>
      <c r="J9" s="9"/>
      <c r="K9" s="9" t="s">
        <v>35</v>
      </c>
    </row>
    <row r="10" spans="1:11" outlineLevel="1" x14ac:dyDescent="0.25">
      <c r="A10" s="12" t="s">
        <v>36</v>
      </c>
      <c r="B10" s="12" t="s">
        <v>37</v>
      </c>
      <c r="C10" s="13">
        <v>120</v>
      </c>
      <c r="D10" s="13">
        <v>15</v>
      </c>
      <c r="E10" s="14">
        <f>IF(G10="",$B$1,WORKDAY.INTL(INDEX($F:$F,MATCH(G10,$A:$A,0)),1,1,Holidays!$A$2:$A$100))</f>
        <v>46307</v>
      </c>
      <c r="F10" s="14">
        <f>IF(D10=0,E10,WORKDAY.INTL(E10,D10-1,1,Holidays!$A$2:$A$100))</f>
        <v>46325</v>
      </c>
      <c r="G10" s="12" t="s">
        <v>28</v>
      </c>
      <c r="H10" s="12" t="s">
        <v>38</v>
      </c>
      <c r="I10" s="12" t="s">
        <v>39</v>
      </c>
      <c r="J10" s="12" t="s">
        <v>27</v>
      </c>
      <c r="K10" s="12" t="s">
        <v>35</v>
      </c>
    </row>
    <row r="11" spans="1:11" ht="30" outlineLevel="1" x14ac:dyDescent="0.25">
      <c r="A11" s="12" t="s">
        <v>40</v>
      </c>
      <c r="B11" s="12" t="s">
        <v>41</v>
      </c>
      <c r="C11" s="13">
        <v>200</v>
      </c>
      <c r="D11" s="13">
        <v>20</v>
      </c>
      <c r="E11" s="14">
        <f>IF(G11="",$B$1,WORKDAY.INTL(INDEX($F:$F,MATCH(G11,$A:$A,0)),1,1,Holidays!$A$2:$A$100))</f>
        <v>46328</v>
      </c>
      <c r="F11" s="14">
        <f>IF(D11=0,E11,WORKDAY.INTL(E11,D11-1,1,Holidays!$A$2:$A$100))</f>
        <v>46356</v>
      </c>
      <c r="G11" s="12" t="s">
        <v>36</v>
      </c>
      <c r="H11" s="12" t="s">
        <v>42</v>
      </c>
      <c r="I11" s="12" t="s">
        <v>43</v>
      </c>
      <c r="J11" s="12" t="s">
        <v>27</v>
      </c>
      <c r="K11" s="12" t="s">
        <v>35</v>
      </c>
    </row>
    <row r="12" spans="1:11" ht="30" outlineLevel="1" x14ac:dyDescent="0.25">
      <c r="A12" s="12" t="s">
        <v>44</v>
      </c>
      <c r="B12" s="12" t="s">
        <v>45</v>
      </c>
      <c r="C12" s="13">
        <v>172</v>
      </c>
      <c r="D12" s="13">
        <v>15</v>
      </c>
      <c r="E12" s="14">
        <f>IF(G12="",$B$1,WORKDAY.INTL(INDEX($F:$F,MATCH(G12,$A:$A,0)),1,1,Holidays!$A$2:$A$100))</f>
        <v>46357</v>
      </c>
      <c r="F12" s="14">
        <f>IF(D12=0,E12,WORKDAY.INTL(E12,D12-1,1,Holidays!$A$2:$A$100))</f>
        <v>46377</v>
      </c>
      <c r="G12" s="12" t="s">
        <v>40</v>
      </c>
      <c r="H12" s="12" t="s">
        <v>46</v>
      </c>
      <c r="I12" s="12" t="s">
        <v>47</v>
      </c>
      <c r="J12" s="12" t="s">
        <v>27</v>
      </c>
      <c r="K12" s="12" t="s">
        <v>35</v>
      </c>
    </row>
    <row r="13" spans="1:11" outlineLevel="1" x14ac:dyDescent="0.25">
      <c r="A13" s="18" t="s">
        <v>48</v>
      </c>
      <c r="B13" s="19" t="s">
        <v>49</v>
      </c>
      <c r="C13" s="20">
        <v>0</v>
      </c>
      <c r="D13" s="20">
        <v>0</v>
      </c>
      <c r="E13" s="21">
        <f>IF(G13="",$B$1,WORKDAY.INTL(INDEX($F:$F,MATCH(G13,$A:$A,0)),1,1,Holidays!$A$2:$A$100))</f>
        <v>46378</v>
      </c>
      <c r="F13" s="21">
        <f>IF(D13=0,E13,WORKDAY.INTL(E13,D13-1,1,Holidays!$A$2:$A$100))</f>
        <v>46378</v>
      </c>
      <c r="G13" s="18" t="s">
        <v>44</v>
      </c>
      <c r="H13" s="18"/>
      <c r="I13" s="18" t="s">
        <v>50</v>
      </c>
      <c r="J13" s="18" t="s">
        <v>27</v>
      </c>
      <c r="K13" s="18" t="s">
        <v>35</v>
      </c>
    </row>
    <row r="14" spans="1:11" x14ac:dyDescent="0.25">
      <c r="A14" s="9" t="s">
        <v>51</v>
      </c>
      <c r="B14" s="9" t="s">
        <v>52</v>
      </c>
      <c r="C14" s="10">
        <f>SUM(C15:C17)</f>
        <v>368</v>
      </c>
      <c r="D14" s="10">
        <f>NETWORKDAYS.INTL(E14,F14,1,Holidays!$A$2:$A$100)</f>
        <v>41</v>
      </c>
      <c r="E14" s="11">
        <f>MIN(E15:E17)</f>
        <v>46379</v>
      </c>
      <c r="F14" s="11">
        <f>MAX(F15:F17)</f>
        <v>46441</v>
      </c>
      <c r="G14" s="9"/>
      <c r="H14" s="9"/>
      <c r="I14" s="9" t="s">
        <v>53</v>
      </c>
      <c r="J14" s="9"/>
      <c r="K14" s="9" t="s">
        <v>54</v>
      </c>
    </row>
    <row r="15" spans="1:11" outlineLevel="1" x14ac:dyDescent="0.25">
      <c r="A15" s="12" t="s">
        <v>55</v>
      </c>
      <c r="B15" s="12" t="s">
        <v>56</v>
      </c>
      <c r="C15" s="13">
        <v>128</v>
      </c>
      <c r="D15" s="13">
        <v>20</v>
      </c>
      <c r="E15" s="14">
        <f>IF(G15="",$B$1,WORKDAY.INTL(INDEX($F:$F,MATCH(G15,$A:$A,0)),1,1,Holidays!$A$2:$A$100))</f>
        <v>46379</v>
      </c>
      <c r="F15" s="14">
        <f>IF(D15=0,E15,WORKDAY.INTL(E15,D15-1,1,Holidays!$A$2:$A$100))</f>
        <v>46409</v>
      </c>
      <c r="G15" s="12" t="s">
        <v>48</v>
      </c>
      <c r="H15" s="12" t="s">
        <v>57</v>
      </c>
      <c r="I15" s="12" t="s">
        <v>58</v>
      </c>
      <c r="J15" s="12" t="s">
        <v>27</v>
      </c>
      <c r="K15" s="12" t="s">
        <v>54</v>
      </c>
    </row>
    <row r="16" spans="1:11" ht="30" outlineLevel="1" x14ac:dyDescent="0.25">
      <c r="A16" s="12" t="s">
        <v>59</v>
      </c>
      <c r="B16" s="12" t="s">
        <v>60</v>
      </c>
      <c r="C16" s="13">
        <v>240</v>
      </c>
      <c r="D16" s="13">
        <v>20</v>
      </c>
      <c r="E16" s="14">
        <f>IF(G16="",$B$1,WORKDAY.INTL(INDEX($F:$F,MATCH(G16,$A:$A,0)),1,1,Holidays!$A$2:$A$100))</f>
        <v>46412</v>
      </c>
      <c r="F16" s="14">
        <f>IF(D16=0,E16,WORKDAY.INTL(E16,D16-1,1,Holidays!$A$2:$A$100))</f>
        <v>46440</v>
      </c>
      <c r="G16" s="12" t="s">
        <v>55</v>
      </c>
      <c r="H16" s="12" t="s">
        <v>61</v>
      </c>
      <c r="I16" s="12" t="s">
        <v>62</v>
      </c>
      <c r="J16" s="12" t="s">
        <v>27</v>
      </c>
      <c r="K16" s="12" t="s">
        <v>54</v>
      </c>
    </row>
    <row r="17" spans="1:11" outlineLevel="1" x14ac:dyDescent="0.25">
      <c r="A17" s="18" t="s">
        <v>63</v>
      </c>
      <c r="B17" s="19" t="s">
        <v>64</v>
      </c>
      <c r="C17" s="20">
        <v>0</v>
      </c>
      <c r="D17" s="20">
        <v>0</v>
      </c>
      <c r="E17" s="21">
        <f>IF(G17="",$B$1,WORKDAY.INTL(INDEX($F:$F,MATCH(G17,$A:$A,0)),1,1,Holidays!$A$2:$A$100))</f>
        <v>46441</v>
      </c>
      <c r="F17" s="21">
        <f>IF(D17=0,E17,WORKDAY.INTL(E17,D17-1,1,Holidays!$A$2:$A$100))</f>
        <v>46441</v>
      </c>
      <c r="G17" s="18" t="s">
        <v>59</v>
      </c>
      <c r="H17" s="18"/>
      <c r="I17" s="18" t="s">
        <v>65</v>
      </c>
      <c r="J17" s="18" t="s">
        <v>27</v>
      </c>
      <c r="K17" s="18" t="s">
        <v>54</v>
      </c>
    </row>
    <row r="18" spans="1:11" x14ac:dyDescent="0.25">
      <c r="A18" s="9" t="s">
        <v>66</v>
      </c>
      <c r="B18" s="9" t="s">
        <v>67</v>
      </c>
      <c r="C18" s="10">
        <f>SUM(C19:C22)</f>
        <v>216</v>
      </c>
      <c r="D18" s="10">
        <f>NETWORKDAYS.INTL(E18,F18,1,Holidays!$A$2:$A$100)</f>
        <v>31</v>
      </c>
      <c r="E18" s="11">
        <f>MIN(E19:E22)</f>
        <v>46379</v>
      </c>
      <c r="F18" s="11">
        <f>MAX(F19:F22)</f>
        <v>46427</v>
      </c>
      <c r="G18" s="9"/>
      <c r="H18" s="9"/>
      <c r="I18" s="9" t="s">
        <v>68</v>
      </c>
      <c r="J18" s="9"/>
      <c r="K18" s="9" t="s">
        <v>69</v>
      </c>
    </row>
    <row r="19" spans="1:11" ht="30" outlineLevel="1" x14ac:dyDescent="0.25">
      <c r="A19" s="12" t="s">
        <v>70</v>
      </c>
      <c r="B19" s="12" t="s">
        <v>71</v>
      </c>
      <c r="C19" s="13">
        <v>136</v>
      </c>
      <c r="D19" s="13">
        <v>15</v>
      </c>
      <c r="E19" s="14">
        <f>IF(G19="",$B$1,WORKDAY.INTL(INDEX($F:$F,MATCH(G19,$A:$A,0)),1,1,Holidays!$A$2:$A$100))</f>
        <v>46379</v>
      </c>
      <c r="F19" s="14">
        <f>IF(D19=0,E19,WORKDAY.INTL(E19,D19-1,1,Holidays!$A$2:$A$100))</f>
        <v>46402</v>
      </c>
      <c r="G19" s="12" t="s">
        <v>48</v>
      </c>
      <c r="H19" s="12" t="s">
        <v>72</v>
      </c>
      <c r="I19" s="12" t="s">
        <v>73</v>
      </c>
      <c r="J19" s="12" t="s">
        <v>27</v>
      </c>
      <c r="K19" s="12" t="s">
        <v>69</v>
      </c>
    </row>
    <row r="20" spans="1:11" outlineLevel="1" x14ac:dyDescent="0.25">
      <c r="A20" s="12" t="s">
        <v>74</v>
      </c>
      <c r="B20" s="12" t="s">
        <v>75</v>
      </c>
      <c r="C20" s="13">
        <v>80</v>
      </c>
      <c r="D20" s="13">
        <v>10</v>
      </c>
      <c r="E20" s="14">
        <f>IF(G20="",$B$1,WORKDAY.INTL(INDEX($F:$F,MATCH(G20,$A:$A,0)),1,1,Holidays!$A$2:$A$100))</f>
        <v>46405</v>
      </c>
      <c r="F20" s="14">
        <f>IF(D20=0,E20,WORKDAY.INTL(E20,D20-1,1,Holidays!$A$2:$A$100))</f>
        <v>46419</v>
      </c>
      <c r="G20" s="12" t="s">
        <v>70</v>
      </c>
      <c r="H20" s="12" t="s">
        <v>76</v>
      </c>
      <c r="I20" s="12" t="s">
        <v>77</v>
      </c>
      <c r="J20" s="12" t="s">
        <v>27</v>
      </c>
      <c r="K20" s="12" t="s">
        <v>69</v>
      </c>
    </row>
    <row r="21" spans="1:11" outlineLevel="1" x14ac:dyDescent="0.25">
      <c r="A21" s="12" t="s">
        <v>78</v>
      </c>
      <c r="B21" s="12" t="s">
        <v>79</v>
      </c>
      <c r="C21" s="13">
        <v>0</v>
      </c>
      <c r="D21" s="13">
        <v>5</v>
      </c>
      <c r="E21" s="14">
        <f>IF(G21="",$B$1,WORKDAY.INTL(INDEX($F:$F,MATCH(G21,$A:$A,0)),1,1,Holidays!$A$2:$A$100))</f>
        <v>46420</v>
      </c>
      <c r="F21" s="14">
        <f>IF(D21=0,E21,WORKDAY.INTL(E21,D21-1,1,Holidays!$A$2:$A$100))</f>
        <v>46426</v>
      </c>
      <c r="G21" s="12" t="s">
        <v>74</v>
      </c>
      <c r="H21" s="12" t="s">
        <v>80</v>
      </c>
      <c r="I21" s="12" t="s">
        <v>81</v>
      </c>
      <c r="J21" s="12" t="s">
        <v>27</v>
      </c>
      <c r="K21" s="12" t="s">
        <v>69</v>
      </c>
    </row>
    <row r="22" spans="1:11" outlineLevel="1" x14ac:dyDescent="0.25">
      <c r="A22" s="18" t="s">
        <v>82</v>
      </c>
      <c r="B22" s="19" t="s">
        <v>83</v>
      </c>
      <c r="C22" s="20">
        <v>0</v>
      </c>
      <c r="D22" s="20">
        <v>0</v>
      </c>
      <c r="E22" s="21">
        <f>IF(G22="",$B$1,WORKDAY.INTL(INDEX($F:$F,MATCH(G22,$A:$A,0)),1,1,Holidays!$A$2:$A$100))</f>
        <v>46427</v>
      </c>
      <c r="F22" s="21">
        <f>IF(D22=0,E22,WORKDAY.INTL(E22,D22-1,1,Holidays!$A$2:$A$100))</f>
        <v>46427</v>
      </c>
      <c r="G22" s="18" t="s">
        <v>78</v>
      </c>
      <c r="H22" s="18"/>
      <c r="I22" s="18" t="s">
        <v>84</v>
      </c>
      <c r="J22" s="18" t="s">
        <v>27</v>
      </c>
      <c r="K22" s="18" t="s">
        <v>69</v>
      </c>
    </row>
    <row r="23" spans="1:11" x14ac:dyDescent="0.25">
      <c r="A23" s="9" t="s">
        <v>85</v>
      </c>
      <c r="B23" s="9" t="s">
        <v>86</v>
      </c>
      <c r="C23" s="10">
        <f>SUM(C24:C27)</f>
        <v>1120</v>
      </c>
      <c r="D23" s="10">
        <f>NETWORKDAYS.INTL(E23,F23,1,Holidays!$A$2:$A$100)</f>
        <v>51</v>
      </c>
      <c r="E23" s="11">
        <f>MIN(E24:E27)</f>
        <v>46442</v>
      </c>
      <c r="F23" s="11">
        <f>MAX(F24:F27)</f>
        <v>46518</v>
      </c>
      <c r="G23" s="9"/>
      <c r="H23" s="9"/>
      <c r="I23" s="9" t="s">
        <v>87</v>
      </c>
      <c r="J23" s="9"/>
      <c r="K23" s="9" t="s">
        <v>88</v>
      </c>
    </row>
    <row r="24" spans="1:11" ht="30" outlineLevel="1" x14ac:dyDescent="0.25">
      <c r="A24" s="12" t="s">
        <v>89</v>
      </c>
      <c r="B24" s="12" t="s">
        <v>90</v>
      </c>
      <c r="C24" s="13">
        <v>560</v>
      </c>
      <c r="D24" s="13">
        <v>20</v>
      </c>
      <c r="E24" s="14">
        <f>IF(G24="",$B$1,WORKDAY.INTL(INDEX($F:$F,MATCH(G24,$A:$A,0)),1,1,Holidays!$A$2:$A$100))</f>
        <v>46442</v>
      </c>
      <c r="F24" s="14">
        <f>IF(D24=0,E24,WORKDAY.INTL(E24,D24-1,1,Holidays!$A$2:$A$100))</f>
        <v>46470</v>
      </c>
      <c r="G24" s="12" t="s">
        <v>63</v>
      </c>
      <c r="H24" s="12" t="s">
        <v>91</v>
      </c>
      <c r="I24" s="12" t="s">
        <v>92</v>
      </c>
      <c r="J24" s="12" t="s">
        <v>27</v>
      </c>
      <c r="K24" s="12" t="s">
        <v>88</v>
      </c>
    </row>
    <row r="25" spans="1:11" outlineLevel="1" x14ac:dyDescent="0.25">
      <c r="A25" s="12" t="s">
        <v>93</v>
      </c>
      <c r="B25" s="12" t="s">
        <v>94</v>
      </c>
      <c r="C25" s="13">
        <v>560</v>
      </c>
      <c r="D25" s="13">
        <v>25</v>
      </c>
      <c r="E25" s="14">
        <f>IF(G25="",$B$1,WORKDAY.INTL(INDEX($F:$F,MATCH(G25,$A:$A,0)),1,1,Holidays!$A$2:$A$100))</f>
        <v>46471</v>
      </c>
      <c r="F25" s="14">
        <f>IF(D25=0,E25,WORKDAY.INTL(E25,D25-1,1,Holidays!$A$2:$A$100))</f>
        <v>46510</v>
      </c>
      <c r="G25" s="12" t="s">
        <v>89</v>
      </c>
      <c r="H25" s="12" t="s">
        <v>91</v>
      </c>
      <c r="I25" s="12" t="s">
        <v>95</v>
      </c>
      <c r="J25" s="12" t="s">
        <v>27</v>
      </c>
      <c r="K25" s="12" t="s">
        <v>88</v>
      </c>
    </row>
    <row r="26" spans="1:11" outlineLevel="1" x14ac:dyDescent="0.25">
      <c r="A26" s="15" t="s">
        <v>96</v>
      </c>
      <c r="B26" s="15" t="s">
        <v>97</v>
      </c>
      <c r="C26" s="16">
        <v>0</v>
      </c>
      <c r="D26" s="16">
        <f>$H$1</f>
        <v>5</v>
      </c>
      <c r="E26" s="17">
        <f>IF(G26="",$B$1,WORKDAY.INTL(INDEX($F:$F,MATCH(G26,$A:$A,0)),1,1,Holidays!$A$2:$A$100))</f>
        <v>46511</v>
      </c>
      <c r="F26" s="17">
        <f>IF(D26=0,E26,WORKDAY.INTL(E26,D26-1,1,Holidays!$A$2:$A$100))</f>
        <v>46517</v>
      </c>
      <c r="G26" s="15" t="s">
        <v>93</v>
      </c>
      <c r="H26" s="15" t="s">
        <v>30</v>
      </c>
      <c r="I26" s="15" t="s">
        <v>98</v>
      </c>
      <c r="J26" s="15" t="s">
        <v>27</v>
      </c>
      <c r="K26" s="15" t="s">
        <v>88</v>
      </c>
    </row>
    <row r="27" spans="1:11" outlineLevel="1" x14ac:dyDescent="0.25">
      <c r="A27" s="18" t="s">
        <v>99</v>
      </c>
      <c r="B27" s="19" t="s">
        <v>100</v>
      </c>
      <c r="C27" s="20">
        <v>0</v>
      </c>
      <c r="D27" s="20">
        <v>0</v>
      </c>
      <c r="E27" s="21">
        <f>IF(G27="",$B$1,WORKDAY.INTL(INDEX($F:$F,MATCH(G27,$A:$A,0)),1,1,Holidays!$A$2:$A$100))</f>
        <v>46518</v>
      </c>
      <c r="F27" s="21">
        <f>IF(D27=0,E27,WORKDAY.INTL(E27,D27-1,1,Holidays!$A$2:$A$100))</f>
        <v>46518</v>
      </c>
      <c r="G27" s="18" t="s">
        <v>96</v>
      </c>
      <c r="H27" s="18"/>
      <c r="I27" s="18" t="s">
        <v>101</v>
      </c>
      <c r="J27" s="18" t="s">
        <v>27</v>
      </c>
      <c r="K27" s="18" t="s">
        <v>88</v>
      </c>
    </row>
    <row r="28" spans="1:11" x14ac:dyDescent="0.25">
      <c r="A28" s="9" t="s">
        <v>102</v>
      </c>
      <c r="B28" s="9" t="s">
        <v>103</v>
      </c>
      <c r="C28" s="10">
        <f>SUM(C29:C32)</f>
        <v>1680</v>
      </c>
      <c r="D28" s="10">
        <f>NETWORKDAYS.INTL(E28,F28,1,Holidays!$A$2:$A$100)</f>
        <v>35</v>
      </c>
      <c r="E28" s="11">
        <f>MIN(E29:E32)</f>
        <v>46519</v>
      </c>
      <c r="F28" s="11">
        <f>MAX(F29:F32)</f>
        <v>46568</v>
      </c>
      <c r="G28" s="9"/>
      <c r="H28" s="9"/>
      <c r="I28" s="9" t="s">
        <v>104</v>
      </c>
      <c r="J28" s="9"/>
      <c r="K28" s="9" t="s">
        <v>105</v>
      </c>
    </row>
    <row r="29" spans="1:11" outlineLevel="1" x14ac:dyDescent="0.25">
      <c r="A29" s="12" t="s">
        <v>106</v>
      </c>
      <c r="B29" s="12" t="s">
        <v>107</v>
      </c>
      <c r="C29" s="13">
        <v>400</v>
      </c>
      <c r="D29" s="13">
        <v>10</v>
      </c>
      <c r="E29" s="14">
        <f>IF(G29="",$B$1,WORKDAY.INTL(INDEX($F:$F,MATCH(G29,$A:$A,0)),1,1,Holidays!$A$2:$A$100))</f>
        <v>46519</v>
      </c>
      <c r="F29" s="14">
        <f>IF(D29=0,E29,WORKDAY.INTL(E29,D29-1,1,Holidays!$A$2:$A$100))</f>
        <v>46532</v>
      </c>
      <c r="G29" s="12" t="s">
        <v>99</v>
      </c>
      <c r="H29" s="12" t="s">
        <v>91</v>
      </c>
      <c r="I29" s="12" t="s">
        <v>108</v>
      </c>
      <c r="J29" s="12" t="s">
        <v>27</v>
      </c>
      <c r="K29" s="12" t="s">
        <v>105</v>
      </c>
    </row>
    <row r="30" spans="1:11" ht="30" outlineLevel="1" x14ac:dyDescent="0.25">
      <c r="A30" s="12" t="s">
        <v>109</v>
      </c>
      <c r="B30" s="12" t="s">
        <v>110</v>
      </c>
      <c r="C30" s="13">
        <v>520</v>
      </c>
      <c r="D30" s="13">
        <v>12</v>
      </c>
      <c r="E30" s="14">
        <f>IF(G30="",$B$1,WORKDAY.INTL(INDEX($F:$F,MATCH(G30,$A:$A,0)),1,1,Holidays!$A$2:$A$100))</f>
        <v>46533</v>
      </c>
      <c r="F30" s="14">
        <f>IF(D30=0,E30,WORKDAY.INTL(E30,D30-1,1,Holidays!$A$2:$A$100))</f>
        <v>46548</v>
      </c>
      <c r="G30" s="12" t="s">
        <v>106</v>
      </c>
      <c r="H30" s="12" t="s">
        <v>80</v>
      </c>
      <c r="I30" s="12" t="s">
        <v>111</v>
      </c>
      <c r="J30" s="12" t="s">
        <v>27</v>
      </c>
      <c r="K30" s="12" t="s">
        <v>105</v>
      </c>
    </row>
    <row r="31" spans="1:11" outlineLevel="1" x14ac:dyDescent="0.25">
      <c r="A31" s="12" t="s">
        <v>112</v>
      </c>
      <c r="B31" s="12" t="s">
        <v>113</v>
      </c>
      <c r="C31" s="13">
        <v>760</v>
      </c>
      <c r="D31" s="13">
        <v>12</v>
      </c>
      <c r="E31" s="14">
        <f>IF(G31="",$B$1,WORKDAY.INTL(INDEX($F:$F,MATCH(G31,$A:$A,0)),1,1,Holidays!$A$2:$A$100))</f>
        <v>46549</v>
      </c>
      <c r="F31" s="14">
        <f>IF(D31=0,E31,WORKDAY.INTL(E31,D31-1,1,Holidays!$A$2:$A$100))</f>
        <v>46567</v>
      </c>
      <c r="G31" s="12" t="s">
        <v>109</v>
      </c>
      <c r="H31" s="12" t="s">
        <v>91</v>
      </c>
      <c r="I31" s="12" t="s">
        <v>114</v>
      </c>
      <c r="J31" s="12" t="s">
        <v>27</v>
      </c>
      <c r="K31" s="12" t="s">
        <v>105</v>
      </c>
    </row>
    <row r="32" spans="1:11" outlineLevel="1" x14ac:dyDescent="0.25">
      <c r="A32" s="18" t="s">
        <v>115</v>
      </c>
      <c r="B32" s="19" t="s">
        <v>116</v>
      </c>
      <c r="C32" s="20">
        <v>0</v>
      </c>
      <c r="D32" s="20">
        <v>0</v>
      </c>
      <c r="E32" s="21">
        <f>IF(G32="",$B$1,WORKDAY.INTL(INDEX($F:$F,MATCH(G32,$A:$A,0)),1,1,Holidays!$A$2:$A$100))</f>
        <v>46568</v>
      </c>
      <c r="F32" s="21">
        <f>IF(D32=0,E32,WORKDAY.INTL(E32,D32-1,1,Holidays!$A$2:$A$100))</f>
        <v>46568</v>
      </c>
      <c r="G32" s="18" t="s">
        <v>112</v>
      </c>
      <c r="H32" s="18"/>
      <c r="I32" s="18" t="s">
        <v>117</v>
      </c>
      <c r="J32" s="18" t="s">
        <v>27</v>
      </c>
      <c r="K32" s="18" t="s">
        <v>105</v>
      </c>
    </row>
    <row r="33" spans="1:11" x14ac:dyDescent="0.25">
      <c r="A33" s="9" t="s">
        <v>118</v>
      </c>
      <c r="B33" s="9" t="s">
        <v>119</v>
      </c>
      <c r="C33" s="10">
        <f>SUM(C34:C40)</f>
        <v>1958</v>
      </c>
      <c r="D33" s="10">
        <f>NETWORKDAYS.INTL(E33,F33,1,Holidays!$A$2:$A$100)</f>
        <v>67</v>
      </c>
      <c r="E33" s="11">
        <f>MIN(E34:E40)</f>
        <v>46519</v>
      </c>
      <c r="F33" s="11">
        <f>MAX(F34:F40)</f>
        <v>46612</v>
      </c>
      <c r="G33" s="9"/>
      <c r="H33" s="9"/>
      <c r="I33" s="9" t="s">
        <v>120</v>
      </c>
      <c r="J33" s="9"/>
      <c r="K33" s="9" t="s">
        <v>121</v>
      </c>
    </row>
    <row r="34" spans="1:11" ht="30" outlineLevel="1" x14ac:dyDescent="0.25">
      <c r="A34" s="12" t="s">
        <v>122</v>
      </c>
      <c r="B34" s="12" t="s">
        <v>123</v>
      </c>
      <c r="C34" s="13">
        <v>200</v>
      </c>
      <c r="D34" s="13">
        <v>15</v>
      </c>
      <c r="E34" s="14">
        <f>IF(G34="",$B$1,WORKDAY.INTL(INDEX($F:$F,MATCH(G34,$A:$A,0)),1,1,Holidays!$A$2:$A$100))</f>
        <v>46519</v>
      </c>
      <c r="F34" s="14">
        <f>IF(D34=0,E34,WORKDAY.INTL(E34,D34-1,1,Holidays!$A$2:$A$100))</f>
        <v>46539</v>
      </c>
      <c r="G34" s="12" t="s">
        <v>99</v>
      </c>
      <c r="H34" s="12" t="s">
        <v>124</v>
      </c>
      <c r="I34" s="12" t="s">
        <v>125</v>
      </c>
      <c r="J34" s="12" t="s">
        <v>27</v>
      </c>
      <c r="K34" s="12" t="s">
        <v>121</v>
      </c>
    </row>
    <row r="35" spans="1:11" ht="30" outlineLevel="1" x14ac:dyDescent="0.25">
      <c r="A35" s="12" t="s">
        <v>126</v>
      </c>
      <c r="B35" s="12" t="s">
        <v>127</v>
      </c>
      <c r="C35" s="13">
        <v>352</v>
      </c>
      <c r="D35" s="13">
        <v>10</v>
      </c>
      <c r="E35" s="14">
        <f>IF(G35="",$B$1,WORKDAY.INTL(INDEX($F:$F,MATCH(G35,$A:$A,0)),1,1,Holidays!$A$2:$A$100))</f>
        <v>46569</v>
      </c>
      <c r="F35" s="14">
        <f>IF(D35=0,E35,WORKDAY.INTL(E35,D35-1,1,Holidays!$A$2:$A$100))</f>
        <v>46582</v>
      </c>
      <c r="G35" s="12" t="s">
        <v>115</v>
      </c>
      <c r="H35" s="12" t="s">
        <v>80</v>
      </c>
      <c r="I35" s="12" t="s">
        <v>128</v>
      </c>
      <c r="J35" s="12" t="s">
        <v>27</v>
      </c>
      <c r="K35" s="12" t="s">
        <v>121</v>
      </c>
    </row>
    <row r="36" spans="1:11" ht="30" outlineLevel="1" x14ac:dyDescent="0.25">
      <c r="A36" s="12" t="s">
        <v>129</v>
      </c>
      <c r="B36" s="12" t="s">
        <v>130</v>
      </c>
      <c r="C36" s="13">
        <v>80</v>
      </c>
      <c r="D36" s="13">
        <v>9</v>
      </c>
      <c r="E36" s="14">
        <f>IF(G36="",$B$1,WORKDAY.INTL(INDEX($F:$F,MATCH(G36,$A:$A,0)),1,1,Holidays!$A$2:$A$100))</f>
        <v>46583</v>
      </c>
      <c r="F36" s="14">
        <f>IF(D36=0,E36,WORKDAY.INTL(E36,D36-1,1,Holidays!$A$2:$A$100))</f>
        <v>46595</v>
      </c>
      <c r="G36" s="12" t="s">
        <v>126</v>
      </c>
      <c r="H36" s="12" t="s">
        <v>131</v>
      </c>
      <c r="I36" s="12" t="s">
        <v>132</v>
      </c>
      <c r="J36" s="12" t="s">
        <v>27</v>
      </c>
      <c r="K36" s="12" t="s">
        <v>121</v>
      </c>
    </row>
    <row r="37" spans="1:11" ht="30" outlineLevel="1" x14ac:dyDescent="0.25">
      <c r="A37" s="30" t="s">
        <v>133</v>
      </c>
      <c r="B37" s="30" t="s">
        <v>134</v>
      </c>
      <c r="C37" s="31">
        <f>ROUND(SUM(C7,C8,C10,C11,C12,C13,C15,C16,C17,C19,C20,C21,C22,C24,C25,C26,C27,C29,C30,C31,C32,C34,C35,C36,C38,C39,C40,C42,C43,C44,C45,C46)*$K$1,0)</f>
        <v>1166</v>
      </c>
      <c r="D37" s="31">
        <v>0</v>
      </c>
      <c r="E37" s="32">
        <f>IF(G37="",$B$1,WORKDAY.INTL(INDEX($F:$F,MATCH(G37,$A:$A,0)),1,1,Holidays!$A$2:$A$100))</f>
        <v>46596</v>
      </c>
      <c r="F37" s="32">
        <f>IF(D37=0,E37,WORKDAY.INTL(E37,D37-1,1,Holidays!$A$2:$A$100))</f>
        <v>46596</v>
      </c>
      <c r="G37" s="30" t="s">
        <v>129</v>
      </c>
      <c r="H37" s="30" t="s">
        <v>135</v>
      </c>
      <c r="I37" s="30" t="s">
        <v>136</v>
      </c>
      <c r="J37" s="30" t="s">
        <v>27</v>
      </c>
      <c r="K37" s="30" t="s">
        <v>121</v>
      </c>
    </row>
    <row r="38" spans="1:11" outlineLevel="1" x14ac:dyDescent="0.25">
      <c r="A38" s="12" t="s">
        <v>137</v>
      </c>
      <c r="B38" s="12" t="s">
        <v>138</v>
      </c>
      <c r="C38" s="13">
        <v>80</v>
      </c>
      <c r="D38" s="13">
        <v>1</v>
      </c>
      <c r="E38" s="14">
        <f>IF(G38="",$B$1,WORKDAY.INTL(INDEX($F:$F,MATCH(G38,$A:$A,0)),1,1,Holidays!$A$2:$A$100))</f>
        <v>46597</v>
      </c>
      <c r="F38" s="14">
        <f>IF(D38=0,E38,WORKDAY.INTL(E38,D38-1,1,Holidays!$A$2:$A$100))</f>
        <v>46597</v>
      </c>
      <c r="G38" s="12" t="s">
        <v>133</v>
      </c>
      <c r="H38" s="12" t="s">
        <v>139</v>
      </c>
      <c r="I38" s="12" t="s">
        <v>140</v>
      </c>
      <c r="J38" s="12" t="s">
        <v>27</v>
      </c>
      <c r="K38" s="12" t="s">
        <v>121</v>
      </c>
    </row>
    <row r="39" spans="1:11" ht="30" outlineLevel="1" x14ac:dyDescent="0.25">
      <c r="A39" s="18" t="s">
        <v>141</v>
      </c>
      <c r="B39" s="19" t="s">
        <v>142</v>
      </c>
      <c r="C39" s="20">
        <v>0</v>
      </c>
      <c r="D39" s="20">
        <v>0</v>
      </c>
      <c r="E39" s="21">
        <f>IF(G39="",$B$1,WORKDAY.INTL(INDEX($F:$F,MATCH(G39,$A:$A,0)),1,1,Holidays!$A$2:$A$100))</f>
        <v>46598</v>
      </c>
      <c r="F39" s="21">
        <f>IF(D39=0,E39,WORKDAY.INTL(E39,D39-1,1,Holidays!$A$2:$A$100))</f>
        <v>46598</v>
      </c>
      <c r="G39" s="18" t="s">
        <v>137</v>
      </c>
      <c r="H39" s="18"/>
      <c r="I39" s="18" t="s">
        <v>143</v>
      </c>
      <c r="J39" s="18" t="s">
        <v>27</v>
      </c>
      <c r="K39" s="18" t="s">
        <v>121</v>
      </c>
    </row>
    <row r="40" spans="1:11" outlineLevel="1" x14ac:dyDescent="0.25">
      <c r="A40" s="12" t="s">
        <v>144</v>
      </c>
      <c r="B40" s="12" t="s">
        <v>145</v>
      </c>
      <c r="C40" s="13">
        <v>80</v>
      </c>
      <c r="D40" s="13">
        <v>10</v>
      </c>
      <c r="E40" s="14">
        <f>IF(G40="",$B$1,WORKDAY.INTL(INDEX($F:$F,MATCH(G40,$A:$A,0)),1,1,Holidays!$A$2:$A$100))</f>
        <v>46601</v>
      </c>
      <c r="F40" s="14">
        <f>IF(D40=0,E40,WORKDAY.INTL(E40,D40-1,1,Holidays!$A$2:$A$100))</f>
        <v>46612</v>
      </c>
      <c r="G40" s="12" t="s">
        <v>141</v>
      </c>
      <c r="H40" s="12" t="s">
        <v>139</v>
      </c>
      <c r="I40" s="12" t="s">
        <v>146</v>
      </c>
      <c r="J40" s="12" t="s">
        <v>27</v>
      </c>
      <c r="K40" s="12" t="s">
        <v>121</v>
      </c>
    </row>
    <row r="41" spans="1:11" ht="30" x14ac:dyDescent="0.25">
      <c r="A41" s="9" t="s">
        <v>147</v>
      </c>
      <c r="B41" s="9" t="s">
        <v>148</v>
      </c>
      <c r="C41" s="10">
        <f>SUM(C42:C46)</f>
        <v>920</v>
      </c>
      <c r="D41" s="10">
        <f>NETWORKDAYS.INTL(E41,F41,1,Holidays!$A$2:$A$100)</f>
        <v>64</v>
      </c>
      <c r="E41" s="11">
        <f>MIN(E42:E46)</f>
        <v>46615</v>
      </c>
      <c r="F41" s="11">
        <f>MAX(F42:F46)</f>
        <v>46702</v>
      </c>
      <c r="G41" s="9"/>
      <c r="H41" s="9"/>
      <c r="I41" s="9" t="s">
        <v>149</v>
      </c>
      <c r="J41" s="9"/>
      <c r="K41" s="9" t="s">
        <v>150</v>
      </c>
    </row>
    <row r="42" spans="1:11" ht="30" outlineLevel="1" x14ac:dyDescent="0.25">
      <c r="A42" s="22" t="s">
        <v>151</v>
      </c>
      <c r="B42" s="22" t="s">
        <v>152</v>
      </c>
      <c r="C42" s="23">
        <v>400</v>
      </c>
      <c r="D42" s="23">
        <v>25</v>
      </c>
      <c r="E42" s="24">
        <f>IF(G42="",$B$1,WORKDAY.INTL(INDEX($F:$F,MATCH(G42,$A:$A,0)),1,1,Holidays!$A$2:$A$100))</f>
        <v>46615</v>
      </c>
      <c r="F42" s="24">
        <f>IF(D42=0,E42,WORKDAY.INTL(E42,D42-1,1,Holidays!$A$2:$A$100))</f>
        <v>46647</v>
      </c>
      <c r="G42" s="22" t="s">
        <v>144</v>
      </c>
      <c r="H42" s="22" t="s">
        <v>91</v>
      </c>
      <c r="I42" s="22" t="s">
        <v>153</v>
      </c>
      <c r="J42" s="22" t="s">
        <v>27</v>
      </c>
      <c r="K42" s="22" t="s">
        <v>150</v>
      </c>
    </row>
    <row r="43" spans="1:11" ht="30" outlineLevel="1" x14ac:dyDescent="0.25">
      <c r="A43" s="22" t="s">
        <v>154</v>
      </c>
      <c r="B43" s="22" t="s">
        <v>155</v>
      </c>
      <c r="C43" s="23">
        <v>320</v>
      </c>
      <c r="D43" s="23">
        <v>20</v>
      </c>
      <c r="E43" s="24">
        <f>IF(G43="",$B$1,WORKDAY.INTL(INDEX($F:$F,MATCH(G43,$A:$A,0)),1,1,Holidays!$A$2:$A$100))</f>
        <v>46650</v>
      </c>
      <c r="F43" s="24">
        <f>IF(D43=0,E43,WORKDAY.INTL(E43,D43-1,1,Holidays!$A$2:$A$100))</f>
        <v>46675</v>
      </c>
      <c r="G43" s="22" t="s">
        <v>151</v>
      </c>
      <c r="H43" s="22" t="s">
        <v>91</v>
      </c>
      <c r="I43" s="22" t="s">
        <v>156</v>
      </c>
      <c r="J43" s="22" t="s">
        <v>27</v>
      </c>
      <c r="K43" s="22" t="s">
        <v>150</v>
      </c>
    </row>
    <row r="44" spans="1:11" ht="30" outlineLevel="1" x14ac:dyDescent="0.25">
      <c r="A44" s="22" t="s">
        <v>157</v>
      </c>
      <c r="B44" s="22" t="s">
        <v>158</v>
      </c>
      <c r="C44" s="23">
        <v>200</v>
      </c>
      <c r="D44" s="23">
        <v>13</v>
      </c>
      <c r="E44" s="24">
        <f>IF(G44="",$B$1,WORKDAY.INTL(INDEX($F:$F,MATCH(G44,$A:$A,0)),1,1,Holidays!$A$2:$A$100))</f>
        <v>46678</v>
      </c>
      <c r="F44" s="24">
        <f>IF(D44=0,E44,WORKDAY.INTL(E44,D44-1,1,Holidays!$A$2:$A$100))</f>
        <v>46694</v>
      </c>
      <c r="G44" s="22" t="s">
        <v>154</v>
      </c>
      <c r="H44" s="22" t="s">
        <v>91</v>
      </c>
      <c r="I44" s="22" t="s">
        <v>159</v>
      </c>
      <c r="J44" s="22" t="s">
        <v>27</v>
      </c>
      <c r="K44" s="22" t="s">
        <v>150</v>
      </c>
    </row>
    <row r="45" spans="1:11" ht="30" outlineLevel="1" x14ac:dyDescent="0.25">
      <c r="A45" s="22" t="s">
        <v>160</v>
      </c>
      <c r="B45" s="22" t="s">
        <v>161</v>
      </c>
      <c r="C45" s="23">
        <v>0</v>
      </c>
      <c r="D45" s="23">
        <v>5</v>
      </c>
      <c r="E45" s="24">
        <f>IF(G45="",$B$1,WORKDAY.INTL(INDEX($F:$F,MATCH(G45,$A:$A,0)),1,1,Holidays!$A$2:$A$100))</f>
        <v>46695</v>
      </c>
      <c r="F45" s="24">
        <f>IF(D45=0,E45,WORKDAY.INTL(E45,D45-1,1,Holidays!$A$2:$A$100))</f>
        <v>46701</v>
      </c>
      <c r="G45" s="22" t="s">
        <v>157</v>
      </c>
      <c r="H45" s="22" t="s">
        <v>80</v>
      </c>
      <c r="I45" s="22" t="s">
        <v>162</v>
      </c>
      <c r="J45" s="22" t="s">
        <v>27</v>
      </c>
      <c r="K45" s="22" t="s">
        <v>150</v>
      </c>
    </row>
    <row r="46" spans="1:11" ht="30" outlineLevel="1" x14ac:dyDescent="0.25">
      <c r="A46" s="18" t="s">
        <v>163</v>
      </c>
      <c r="B46" s="19" t="s">
        <v>164</v>
      </c>
      <c r="C46" s="20">
        <v>0</v>
      </c>
      <c r="D46" s="20">
        <v>0</v>
      </c>
      <c r="E46" s="21">
        <f>IF(G46="",$B$1,WORKDAY.INTL(INDEX($F:$F,MATCH(G46,$A:$A,0)),1,1,Holidays!$A$2:$A$100))</f>
        <v>46702</v>
      </c>
      <c r="F46" s="21">
        <f>IF(D46=0,E46,WORKDAY.INTL(E46,D46-1,1,Holidays!$A$2:$A$100))</f>
        <v>46702</v>
      </c>
      <c r="G46" s="18" t="s">
        <v>160</v>
      </c>
      <c r="H46" s="18" t="s">
        <v>30</v>
      </c>
      <c r="I46" s="18" t="s">
        <v>165</v>
      </c>
      <c r="J46" s="18" t="s">
        <v>27</v>
      </c>
      <c r="K46" s="18" t="s">
        <v>150</v>
      </c>
    </row>
  </sheetData>
  <autoFilter ref="A4:K46" xr:uid="{00000000-0009-0000-0000-000000000000}"/>
  <mergeCells count="2">
    <mergeCell ref="J2:K2"/>
    <mergeCell ref="A2:H2"/>
  </mergeCells>
  <dataValidations count="1">
    <dataValidation type="list" allowBlank="1" sqref="J7 J8 J10 J11 J12 J13 J15 J16 J17 J19 J20 J21 J22 J24 J25 J26 J27 J29 J30 J31 J32 J34 J35 J36 J37 J38 J39 J40 J42 J43 J44 J45 J46" xr:uid="{00000000-0002-0000-0000-000000000000}">
      <formula1>"Not Started,In Progress,Blocked,Complete"</formula1>
    </dataValidation>
  </dataValidations>
  <pageMargins left="0.75" right="0.75" top="1" bottom="1" header="0.5" footer="0.5"/>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1"/>
  <sheetViews>
    <sheetView showGridLines="0" workbookViewId="0">
      <pane ySplit="1" topLeftCell="A2" activePane="bottomLeft" state="frozen"/>
      <selection pane="bottomLeft"/>
    </sheetView>
  </sheetViews>
  <sheetFormatPr defaultRowHeight="15" x14ac:dyDescent="0.25"/>
  <cols>
    <col min="1" max="1" width="22" customWidth="1"/>
    <col min="2" max="2" width="52" customWidth="1"/>
  </cols>
  <sheetData>
    <row r="1" spans="1:2" x14ac:dyDescent="0.25">
      <c r="A1" s="25" t="s">
        <v>166</v>
      </c>
      <c r="B1" s="25" t="s">
        <v>167</v>
      </c>
    </row>
    <row r="2" spans="1:2" x14ac:dyDescent="0.25">
      <c r="A2" s="26">
        <v>46329</v>
      </c>
      <c r="B2" t="s">
        <v>168</v>
      </c>
    </row>
    <row r="3" spans="1:2" x14ac:dyDescent="0.25">
      <c r="A3" s="26">
        <v>46381</v>
      </c>
      <c r="B3" t="s">
        <v>169</v>
      </c>
    </row>
    <row r="4" spans="1:2" x14ac:dyDescent="0.25">
      <c r="A4" s="26">
        <v>46384</v>
      </c>
      <c r="B4" t="s">
        <v>170</v>
      </c>
    </row>
    <row r="5" spans="1:2" x14ac:dyDescent="0.25">
      <c r="A5" s="26">
        <v>46388</v>
      </c>
      <c r="B5" t="s">
        <v>171</v>
      </c>
    </row>
    <row r="6" spans="1:2" x14ac:dyDescent="0.25">
      <c r="A6" s="26">
        <v>46413</v>
      </c>
      <c r="B6" t="s">
        <v>172</v>
      </c>
    </row>
    <row r="7" spans="1:2" x14ac:dyDescent="0.25">
      <c r="A7" s="26">
        <v>46454</v>
      </c>
      <c r="B7" t="s">
        <v>173</v>
      </c>
    </row>
    <row r="8" spans="1:2" x14ac:dyDescent="0.25">
      <c r="A8" s="26">
        <v>46472</v>
      </c>
      <c r="B8" t="s">
        <v>174</v>
      </c>
    </row>
    <row r="9" spans="1:2" x14ac:dyDescent="0.25">
      <c r="A9" s="26">
        <v>46475</v>
      </c>
      <c r="B9" t="s">
        <v>175</v>
      </c>
    </row>
    <row r="10" spans="1:2" x14ac:dyDescent="0.25">
      <c r="A10" s="26">
        <v>46503</v>
      </c>
      <c r="B10" t="s">
        <v>176</v>
      </c>
    </row>
    <row r="11" spans="1:2" x14ac:dyDescent="0.25">
      <c r="A11" s="26">
        <v>46552</v>
      </c>
      <c r="B11" t="s">
        <v>177</v>
      </c>
    </row>
    <row r="12" spans="1:2" x14ac:dyDescent="0.25">
      <c r="A12" s="26"/>
    </row>
    <row r="13" spans="1:2" x14ac:dyDescent="0.25">
      <c r="A13" s="26"/>
    </row>
    <row r="14" spans="1:2" x14ac:dyDescent="0.25">
      <c r="A14" s="26"/>
    </row>
    <row r="15" spans="1:2" x14ac:dyDescent="0.25">
      <c r="A15" s="26"/>
    </row>
    <row r="16" spans="1:2" x14ac:dyDescent="0.25">
      <c r="A16" s="26"/>
    </row>
    <row r="17" spans="1:1" x14ac:dyDescent="0.25">
      <c r="A17" s="26"/>
    </row>
    <row r="18" spans="1:1" x14ac:dyDescent="0.25">
      <c r="A18" s="26"/>
    </row>
    <row r="19" spans="1:1" x14ac:dyDescent="0.25">
      <c r="A19" s="26"/>
    </row>
    <row r="20" spans="1:1" x14ac:dyDescent="0.25">
      <c r="A20" s="26"/>
    </row>
    <row r="21" spans="1:1" x14ac:dyDescent="0.25">
      <c r="A21" s="26"/>
    </row>
    <row r="22" spans="1:1" x14ac:dyDescent="0.25">
      <c r="A22" s="26"/>
    </row>
    <row r="23" spans="1:1" x14ac:dyDescent="0.25">
      <c r="A23" s="26"/>
    </row>
    <row r="24" spans="1:1" x14ac:dyDescent="0.25">
      <c r="A24" s="26"/>
    </row>
    <row r="25" spans="1:1" x14ac:dyDescent="0.25">
      <c r="A25" s="26"/>
    </row>
    <row r="26" spans="1:1" x14ac:dyDescent="0.25">
      <c r="A26" s="26"/>
    </row>
    <row r="27" spans="1:1" x14ac:dyDescent="0.25">
      <c r="A27" s="26"/>
    </row>
    <row r="28" spans="1:1" x14ac:dyDescent="0.25">
      <c r="A28" s="26"/>
    </row>
    <row r="29" spans="1:1" x14ac:dyDescent="0.25">
      <c r="A29" s="26"/>
    </row>
    <row r="30" spans="1:1" x14ac:dyDescent="0.25">
      <c r="A30" s="26"/>
    </row>
    <row r="31" spans="1:1" x14ac:dyDescent="0.25">
      <c r="A31" s="26"/>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
  <sheetViews>
    <sheetView showGridLines="0" workbookViewId="0"/>
  </sheetViews>
  <sheetFormatPr defaultRowHeight="15" x14ac:dyDescent="0.25"/>
  <cols>
    <col min="1" max="1" width="26" customWidth="1"/>
    <col min="2" max="2" width="120" customWidth="1"/>
  </cols>
  <sheetData>
    <row r="1" spans="1:2" x14ac:dyDescent="0.25">
      <c r="A1" s="27" t="s">
        <v>178</v>
      </c>
      <c r="B1" s="27" t="s">
        <v>179</v>
      </c>
    </row>
    <row r="2" spans="1:2" x14ac:dyDescent="0.25">
      <c r="A2" s="28" t="s">
        <v>180</v>
      </c>
      <c r="B2" s="28" t="s">
        <v>181</v>
      </c>
    </row>
    <row r="3" spans="1:2" x14ac:dyDescent="0.25">
      <c r="A3" s="28" t="s">
        <v>182</v>
      </c>
      <c r="B3" s="28" t="s">
        <v>183</v>
      </c>
    </row>
    <row r="4" spans="1:2" ht="30" x14ac:dyDescent="0.25">
      <c r="A4" s="28" t="s">
        <v>184</v>
      </c>
      <c r="B4" s="28" t="s">
        <v>185</v>
      </c>
    </row>
    <row r="5" spans="1:2" ht="30" x14ac:dyDescent="0.25">
      <c r="A5" s="28" t="s">
        <v>186</v>
      </c>
      <c r="B5" s="28" t="s">
        <v>187</v>
      </c>
    </row>
    <row r="6" spans="1:2" ht="30" x14ac:dyDescent="0.25">
      <c r="A6" s="28" t="s">
        <v>188</v>
      </c>
      <c r="B6" s="28" t="s">
        <v>189</v>
      </c>
    </row>
    <row r="7" spans="1:2" x14ac:dyDescent="0.25">
      <c r="A7" s="28" t="s">
        <v>190</v>
      </c>
      <c r="B7" s="28" t="s">
        <v>191</v>
      </c>
    </row>
    <row r="8" spans="1:2" ht="30" x14ac:dyDescent="0.25">
      <c r="A8" s="28" t="s">
        <v>192</v>
      </c>
      <c r="B8" s="28" t="s">
        <v>193</v>
      </c>
    </row>
    <row r="9" spans="1:2" x14ac:dyDescent="0.25">
      <c r="A9" s="28" t="s">
        <v>194</v>
      </c>
      <c r="B9" s="28" t="s">
        <v>195</v>
      </c>
    </row>
    <row r="10" spans="1:2" x14ac:dyDescent="0.25">
      <c r="A10" s="28" t="s">
        <v>196</v>
      </c>
      <c r="B10" s="28" t="s">
        <v>197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
  <sheetViews>
    <sheetView workbookViewId="0"/>
  </sheetViews>
  <sheetFormatPr defaultRowHeight="15" x14ac:dyDescent="0.25"/>
  <sheetData>
    <row r="1" spans="1:3" x14ac:dyDescent="0.25">
      <c r="A1" t="s">
        <v>198</v>
      </c>
      <c r="B1" t="s">
        <v>199</v>
      </c>
      <c r="C1" t="s">
        <v>200</v>
      </c>
    </row>
    <row r="2" spans="1:3" x14ac:dyDescent="0.25">
      <c r="A2" t="s">
        <v>201</v>
      </c>
      <c r="B2">
        <f>'Implementation Plan'!C5</f>
        <v>6994</v>
      </c>
      <c r="C2">
        <v>6994</v>
      </c>
    </row>
    <row r="3" spans="1:3" x14ac:dyDescent="0.25">
      <c r="A3" t="s">
        <v>202</v>
      </c>
      <c r="B3">
        <f>B2-1166</f>
        <v>5828</v>
      </c>
      <c r="C3">
        <v>5828</v>
      </c>
    </row>
    <row r="4" spans="1:3" x14ac:dyDescent="0.25">
      <c r="A4" t="s">
        <v>203</v>
      </c>
      <c r="B4">
        <f>'Implementation Plan'!F39</f>
        <v>46598</v>
      </c>
      <c r="C4" s="29">
        <v>46598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Implementation Plan</vt:lpstr>
      <vt:lpstr>Holidays</vt:lpstr>
      <vt:lpstr>Plan Notes</vt:lpstr>
      <vt:lpstr>Validation</vt:lpstr>
      <vt:lpstr>'Implementation Plan'!Print_Area</vt:lpstr>
      <vt:lpstr>'Implementation Plan'!Print_Titles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Nicholas Chai</cp:lastModifiedBy>
  <dcterms:created xsi:type="dcterms:W3CDTF">2026-09-21T01:07:00Z</dcterms:created>
  <dcterms:modified xsi:type="dcterms:W3CDTF">2026-09-21T01:57:59Z</dcterms:modified>
</cp:coreProperties>
</file>