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tegrated ROM" sheetId="1" state="visible" r:id="rId1"/>
    <sheet name="Ribbon Summary" sheetId="2" state="visible" r:id="rId2"/>
    <sheet name="Assumptions" sheetId="3" state="visible" r:id="rId3"/>
    <sheet name="Validation" sheetId="4" state="hidden" r:id="rId4"/>
  </sheets>
  <definedNames>
    <definedName name="_xlnm._FilterDatabase" localSheetId="0" hidden="1">'Integrated ROM'!$A$1:$L$107</definedName>
    <definedName name="_xlnm.Print_Titles" localSheetId="0">'Integrated ROM'!$1:$1</definedName>
    <definedName name="_xlnm.Print_Area" localSheetId="0">'Integrated ROM'!$A$1:$L$107</definedName>
  </definedNames>
  <calcPr calcId="124519" calcMode="auto" fullCalcOnLoad="1" forceFullCalc="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font>
    <font>
      <b val="1"/>
      <color rgb="00000000"/>
    </font>
  </fonts>
  <fills count="12">
    <fill>
      <patternFill/>
    </fill>
    <fill>
      <patternFill patternType="gray125"/>
    </fill>
    <fill>
      <patternFill patternType="solid">
        <fgColor rgb="001F4E78"/>
      </patternFill>
    </fill>
    <fill>
      <patternFill patternType="solid">
        <fgColor rgb="0070AD47"/>
      </patternFill>
    </fill>
    <fill>
      <patternFill patternType="solid">
        <fgColor rgb="00D9EAD3"/>
      </patternFill>
    </fill>
    <fill>
      <patternFill patternType="solid">
        <fgColor rgb="005B9BD5"/>
      </patternFill>
    </fill>
    <fill>
      <patternFill patternType="solid">
        <fgColor rgb="00ED7D31"/>
      </patternFill>
    </fill>
    <fill>
      <patternFill patternType="solid">
        <fgColor rgb="00A5A5A5"/>
      </patternFill>
    </fill>
    <fill>
      <patternFill patternType="solid">
        <fgColor rgb="008064A2"/>
      </patternFill>
    </fill>
    <fill>
      <patternFill patternType="solid">
        <fgColor rgb="00FFC000"/>
      </patternFill>
    </fill>
    <fill>
      <patternFill patternType="solid">
        <fgColor rgb="00FFF2CC"/>
      </patternFill>
    </fill>
    <fill>
      <patternFill patternType="solid"/>
    </fill>
  </fills>
  <borders count="2">
    <border>
      <left/>
      <right/>
      <top/>
      <bottom/>
      <diagonal/>
    </border>
    <border>
      <bottom style="thin">
        <color rgb="00D9E1F2"/>
      </bottom>
    </border>
  </borders>
  <cellStyleXfs count="1">
    <xf numFmtId="0" fontId="0" fillId="0" borderId="0"/>
  </cellStyleXfs>
  <cellXfs count="26">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vertical="top" wrapText="1"/>
    </xf>
    <xf numFmtId="1" fontId="0" fillId="0" borderId="1" applyAlignment="1" pivotButton="0" quotePrefix="0" xfId="0">
      <alignment horizontal="right" vertical="top"/>
    </xf>
    <xf numFmtId="0" fontId="1" fillId="3" borderId="1" applyAlignment="1" pivotButton="0" quotePrefix="0" xfId="0">
      <alignment vertical="top" wrapText="1"/>
    </xf>
    <xf numFmtId="1" fontId="1" fillId="3" borderId="1" applyAlignment="1" pivotButton="0" quotePrefix="0" xfId="0">
      <alignment horizontal="right" vertical="top"/>
    </xf>
    <xf numFmtId="0" fontId="2" fillId="4" borderId="1" applyAlignment="1" pivotButton="0" quotePrefix="0" xfId="0">
      <alignment vertical="top" wrapText="1"/>
    </xf>
    <xf numFmtId="1" fontId="2" fillId="4" borderId="1" applyAlignment="1" pivotButton="0" quotePrefix="0" xfId="0">
      <alignment horizontal="right" vertical="top"/>
    </xf>
    <xf numFmtId="0" fontId="1" fillId="5" borderId="1" applyAlignment="1" pivotButton="0" quotePrefix="0" xfId="0">
      <alignment vertical="top" wrapText="1"/>
    </xf>
    <xf numFmtId="1" fontId="1" fillId="5" borderId="1" applyAlignment="1" pivotButton="0" quotePrefix="0" xfId="0">
      <alignment horizontal="right" vertical="top"/>
    </xf>
    <xf numFmtId="0" fontId="1" fillId="6" borderId="1" applyAlignment="1" pivotButton="0" quotePrefix="0" xfId="0">
      <alignment vertical="top" wrapText="1"/>
    </xf>
    <xf numFmtId="1" fontId="1" fillId="6" borderId="1" applyAlignment="1" pivotButton="0" quotePrefix="0" xfId="0">
      <alignment horizontal="right" vertical="top"/>
    </xf>
    <xf numFmtId="0" fontId="1" fillId="7" borderId="1" applyAlignment="1" pivotButton="0" quotePrefix="0" xfId="0">
      <alignment vertical="top" wrapText="1"/>
    </xf>
    <xf numFmtId="1" fontId="1" fillId="7" borderId="1" applyAlignment="1" pivotButton="0" quotePrefix="0" xfId="0">
      <alignment horizontal="right" vertical="top"/>
    </xf>
    <xf numFmtId="0" fontId="1" fillId="8" borderId="1" applyAlignment="1" pivotButton="0" quotePrefix="0" xfId="0">
      <alignment vertical="top" wrapText="1"/>
    </xf>
    <xf numFmtId="1" fontId="1" fillId="8" borderId="1" applyAlignment="1" pivotButton="0" quotePrefix="0" xfId="0">
      <alignment horizontal="right" vertical="top"/>
    </xf>
    <xf numFmtId="0" fontId="3" fillId="9" borderId="1" applyAlignment="1" pivotButton="0" quotePrefix="0" xfId="0">
      <alignment vertical="top" wrapText="1"/>
    </xf>
    <xf numFmtId="1" fontId="3" fillId="9" borderId="1" applyAlignment="1" pivotButton="0" quotePrefix="0" xfId="0">
      <alignment horizontal="right" vertical="top"/>
    </xf>
    <xf numFmtId="0" fontId="3" fillId="10" borderId="1" applyAlignment="1" pivotButton="0" quotePrefix="0" xfId="0">
      <alignment vertical="top" wrapText="1"/>
    </xf>
    <xf numFmtId="1" fontId="3" fillId="10" borderId="1" applyAlignment="1" pivotButton="0" quotePrefix="0" xfId="0">
      <alignment horizontal="right" vertical="top"/>
    </xf>
    <xf numFmtId="0" fontId="1" fillId="11" borderId="1" applyAlignment="1" pivotButton="0" quotePrefix="0" xfId="0">
      <alignment vertical="top" wrapText="1"/>
    </xf>
    <xf numFmtId="1" fontId="1" fillId="11" borderId="1" applyAlignment="1" pivotButton="0" quotePrefix="0" xfId="0">
      <alignment horizontal="right" vertical="top"/>
    </xf>
    <xf numFmtId="0" fontId="1" fillId="2" borderId="0" applyAlignment="1" pivotButton="0" quotePrefix="0" xfId="0">
      <alignment horizontal="center" wrapText="1"/>
    </xf>
    <xf numFmtId="0" fontId="1" fillId="11"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L107"/>
  <sheetViews>
    <sheetView showGridLines="0"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36" customWidth="1" min="2" max="2"/>
    <col width="84" customWidth="1" min="3" max="3"/>
    <col width="12" customWidth="1" min="4" max="4"/>
    <col width="17" customWidth="1" min="5" max="5"/>
    <col width="17" customWidth="1" min="6" max="6"/>
    <col width="16" customWidth="1" min="7" max="7"/>
    <col width="14" customWidth="1" min="8" max="8"/>
    <col width="16" customWidth="1" min="9" max="9"/>
    <col width="10" customWidth="1" min="10" max="10"/>
    <col width="10" customWidth="1" min="11" max="11"/>
    <col width="10" customWidth="1" min="12" max="12"/>
  </cols>
  <sheetData>
    <row r="1" ht="32" customHeight="1">
      <c r="A1" s="1" t="inlineStr">
        <is>
          <t>Phase</t>
        </is>
      </c>
      <c r="B1" s="1" t="inlineStr">
        <is>
          <t>Task</t>
        </is>
      </c>
      <c r="C1" s="1" t="inlineStr">
        <is>
          <t>Scope / Description</t>
        </is>
      </c>
      <c r="D1" s="1" t="inlineStr">
        <is>
          <t>Totals</t>
        </is>
      </c>
      <c r="E1" s="1" t="inlineStr">
        <is>
          <t>Dev 1 - Frontend</t>
        </is>
      </c>
      <c r="F1" s="1" t="inlineStr">
        <is>
          <t>Dev 2 - Backend</t>
        </is>
      </c>
      <c r="G1" s="1" t="inlineStr">
        <is>
          <t>Dev 3 - Design</t>
        </is>
      </c>
      <c r="H1" s="1" t="inlineStr">
        <is>
          <t>Dev 3 - .NET</t>
        </is>
      </c>
      <c r="I1" s="1" t="inlineStr">
        <is>
          <t>Dev 4 - Testing</t>
        </is>
      </c>
      <c r="J1" s="1" t="inlineStr">
        <is>
          <t>PM</t>
        </is>
      </c>
      <c r="K1" s="1" t="inlineStr">
        <is>
          <t>CM</t>
        </is>
      </c>
      <c r="L1" s="1" t="inlineStr">
        <is>
          <t>PD</t>
        </is>
      </c>
    </row>
    <row r="2">
      <c r="A2" s="2" t="inlineStr">
        <is>
          <t>Mobilisation</t>
        </is>
      </c>
      <c r="B2" s="2" t="inlineStr">
        <is>
          <t>Initiation and Scope Confirmation</t>
        </is>
      </c>
      <c r="C2" s="2" t="inlineStr">
        <is>
          <t>Confirm objectives, production scope, stakeholders, constraints and acceptance approach.</t>
        </is>
      </c>
      <c r="D2" s="3">
        <f>SUM(E2:L2)</f>
        <v/>
      </c>
      <c r="E2" s="3" t="n">
        <v>8</v>
      </c>
      <c r="F2" s="3" t="n">
        <v>8</v>
      </c>
      <c r="G2" s="3" t="n">
        <v>4</v>
      </c>
      <c r="H2" s="3" t="n">
        <v>0</v>
      </c>
      <c r="I2" s="3" t="n">
        <v>0</v>
      </c>
      <c r="J2" s="3" t="n">
        <v>60</v>
      </c>
      <c r="K2" s="3" t="n">
        <v>0</v>
      </c>
      <c r="L2" s="3" t="n">
        <v>0</v>
      </c>
    </row>
    <row r="3">
      <c r="A3" s="2" t="inlineStr">
        <is>
          <t>Mobilisation</t>
        </is>
      </c>
      <c r="B3" s="2" t="inlineStr">
        <is>
          <t>Project Governance and Planning</t>
        </is>
      </c>
      <c r="C3" s="2" t="inlineStr">
        <is>
          <t>Delivery governance, reporting, RAID management, scheduling and commercial coordination.</t>
        </is>
      </c>
      <c r="D3" s="3">
        <f>SUM(E3:L3)</f>
        <v/>
      </c>
      <c r="E3" s="3" t="n">
        <v>0</v>
      </c>
      <c r="F3" s="3" t="n">
        <v>0</v>
      </c>
      <c r="G3" s="3" t="n">
        <v>0</v>
      </c>
      <c r="H3" s="3" t="n">
        <v>0</v>
      </c>
      <c r="I3" s="3" t="n">
        <v>0</v>
      </c>
      <c r="J3" s="3" t="n">
        <v>40</v>
      </c>
      <c r="K3" s="3" t="n">
        <v>0</v>
      </c>
      <c r="L3" s="3" t="n">
        <v>40</v>
      </c>
    </row>
    <row r="4">
      <c r="A4" s="2" t="inlineStr">
        <is>
          <t>Mobilisation</t>
        </is>
      </c>
      <c r="B4" s="2" t="inlineStr">
        <is>
          <t>Requirements Gathering / Targeted Workshops</t>
        </is>
      </c>
      <c r="C4" s="2" t="inlineStr">
        <is>
          <t>Validate tool scope, user journeys, data, symbols, access rules and non-functional requirements.</t>
        </is>
      </c>
      <c r="D4" s="3">
        <f>SUM(E4:L4)</f>
        <v/>
      </c>
      <c r="E4" s="3" t="n">
        <v>8</v>
      </c>
      <c r="F4" s="3" t="n">
        <v>8</v>
      </c>
      <c r="G4" s="3" t="n">
        <v>24</v>
      </c>
      <c r="H4" s="3" t="n">
        <v>0</v>
      </c>
      <c r="I4" s="3" t="n">
        <v>0</v>
      </c>
      <c r="J4" s="3" t="n">
        <v>24</v>
      </c>
      <c r="K4" s="3" t="n">
        <v>0</v>
      </c>
      <c r="L4" s="3" t="n">
        <v>16</v>
      </c>
    </row>
    <row r="5">
      <c r="A5" s="2" t="inlineStr">
        <is>
          <t>Foundation</t>
        </is>
      </c>
      <c r="B5" s="2" t="inlineStr">
        <is>
          <t>Backend spatial API</t>
        </is>
      </c>
      <c r="C5" s="2" t="inlineStr">
        <is>
          <t>Productionise FastAPI/PostGIS spatial services, contracts, validation, paging and shared geospatial operations.</t>
        </is>
      </c>
      <c r="D5" s="3">
        <f>SUM(E5:L5)</f>
        <v/>
      </c>
      <c r="E5" s="3" t="n">
        <v>16</v>
      </c>
      <c r="F5" s="3" t="n">
        <v>160</v>
      </c>
      <c r="G5" s="3" t="n">
        <v>8</v>
      </c>
      <c r="H5" s="3" t="n">
        <v>0</v>
      </c>
      <c r="I5" s="3" t="n">
        <v>0</v>
      </c>
      <c r="J5" s="3" t="n">
        <v>16</v>
      </c>
      <c r="K5" s="3" t="n">
        <v>0</v>
      </c>
      <c r="L5" s="3" t="n">
        <v>0</v>
      </c>
    </row>
    <row r="6">
      <c r="A6" s="2" t="inlineStr">
        <is>
          <t>Foundation</t>
        </is>
      </c>
      <c r="B6" s="2" t="inlineStr">
        <is>
          <t>Frontend web application base</t>
        </is>
      </c>
      <c r="C6" s="2" t="inlineStr">
        <is>
          <t>Production React/OpenLayers application shell, routing, state, error handling and shared components.</t>
        </is>
      </c>
      <c r="D6" s="3">
        <f>SUM(E6:L6)</f>
        <v/>
      </c>
      <c r="E6" s="3" t="n">
        <v>80</v>
      </c>
      <c r="F6" s="3" t="n">
        <v>0</v>
      </c>
      <c r="G6" s="3" t="n">
        <v>0</v>
      </c>
      <c r="H6" s="3" t="n">
        <v>0</v>
      </c>
      <c r="I6" s="3" t="n">
        <v>0</v>
      </c>
      <c r="J6" s="3" t="n">
        <v>0</v>
      </c>
      <c r="K6" s="3" t="n">
        <v>0</v>
      </c>
      <c r="L6" s="3" t="n">
        <v>0</v>
      </c>
    </row>
    <row r="7">
      <c r="A7" s="2" t="inlineStr">
        <is>
          <t>Foundation</t>
        </is>
      </c>
      <c r="B7" s="2" t="inlineStr">
        <is>
          <t>UI</t>
        </is>
      </c>
      <c r="C7" s="2" t="inlineStr">
        <is>
          <t>Design system, responsive layouts, ribbon framework, panels, accessibility and consistent interaction patterns.</t>
        </is>
      </c>
      <c r="D7" s="3">
        <f>SUM(E7:L7)</f>
        <v/>
      </c>
      <c r="E7" s="3" t="n">
        <v>20</v>
      </c>
      <c r="F7" s="3" t="n">
        <v>20</v>
      </c>
      <c r="G7" s="3" t="n">
        <v>80</v>
      </c>
      <c r="H7" s="3" t="n">
        <v>0</v>
      </c>
      <c r="I7" s="3" t="n">
        <v>0</v>
      </c>
      <c r="J7" s="3" t="n">
        <v>16</v>
      </c>
      <c r="K7" s="3" t="n">
        <v>0</v>
      </c>
      <c r="L7" s="3" t="n">
        <v>0</v>
      </c>
    </row>
    <row r="8">
      <c r="A8" s="4" t="inlineStr">
        <is>
          <t>Application Tools</t>
        </is>
      </c>
      <c r="B8" s="4" t="inlineStr">
        <is>
          <t>Search</t>
        </is>
      </c>
      <c r="C8" s="4" t="inlineStr">
        <is>
          <t>Ribbon / contextual tool group</t>
        </is>
      </c>
      <c r="D8" s="5" t="n"/>
      <c r="E8" s="5" t="n"/>
      <c r="F8" s="5" t="n"/>
      <c r="G8" s="5" t="n"/>
      <c r="H8" s="5" t="n"/>
      <c r="I8" s="5" t="n"/>
      <c r="J8" s="5" t="n"/>
      <c r="K8" s="5" t="n"/>
      <c r="L8" s="5" t="n"/>
    </row>
    <row r="9">
      <c r="A9" s="2" t="inlineStr">
        <is>
          <t>Search</t>
        </is>
      </c>
      <c r="B9" s="2" t="inlineStr">
        <is>
          <t>Universal search box</t>
        </is>
      </c>
      <c r="C9" s="2" t="inlineStr">
        <is>
          <t>Search addresses, parcels/SPI, localities and configured datasets; autocomplete, keyboard submission, result categories, map navigation and error handling.</t>
        </is>
      </c>
      <c r="D9" s="3">
        <f>SUM(E9:L9)</f>
        <v/>
      </c>
      <c r="E9" s="3" t="n">
        <v>48</v>
      </c>
      <c r="F9" s="3" t="n">
        <v>80</v>
      </c>
      <c r="G9" s="3" t="n">
        <v>16</v>
      </c>
      <c r="H9" s="3" t="n">
        <v>0</v>
      </c>
      <c r="I9" s="3" t="n">
        <v>16</v>
      </c>
      <c r="J9" s="3" t="n">
        <v>0</v>
      </c>
      <c r="K9" s="3" t="n">
        <v>0</v>
      </c>
      <c r="L9" s="3" t="n">
        <v>0</v>
      </c>
    </row>
    <row r="10">
      <c r="A10" s="6" t="inlineStr">
        <is>
          <t>Application Tools</t>
        </is>
      </c>
      <c r="B10" s="6" t="inlineStr">
        <is>
          <t>Search subtotal</t>
        </is>
      </c>
      <c r="C10" s="6" t="inlineStr"/>
      <c r="D10" s="7">
        <f>SUM(D9:D9)</f>
        <v/>
      </c>
      <c r="E10" s="7">
        <f>SUM(E9:E9)</f>
        <v/>
      </c>
      <c r="F10" s="7">
        <f>SUM(F9:F9)</f>
        <v/>
      </c>
      <c r="G10" s="7">
        <f>SUM(G9:G9)</f>
        <v/>
      </c>
      <c r="H10" s="7">
        <f>SUM(H9:H9)</f>
        <v/>
      </c>
      <c r="I10" s="7">
        <f>SUM(I9:I9)</f>
        <v/>
      </c>
      <c r="J10" s="7">
        <f>SUM(J9:J9)</f>
        <v/>
      </c>
      <c r="K10" s="7">
        <f>SUM(K9:K9)</f>
        <v/>
      </c>
      <c r="L10" s="7">
        <f>SUM(L9:L9)</f>
        <v/>
      </c>
    </row>
    <row r="11">
      <c r="A11" s="8" t="inlineStr">
        <is>
          <t>Application Tools</t>
        </is>
      </c>
      <c r="B11" s="8" t="inlineStr">
        <is>
          <t>Home Tab</t>
        </is>
      </c>
      <c r="C11" s="8" t="inlineStr">
        <is>
          <t>Ribbon / contextual tool group</t>
        </is>
      </c>
      <c r="D11" s="9" t="n"/>
      <c r="E11" s="9" t="n"/>
      <c r="F11" s="9" t="n"/>
      <c r="G11" s="9" t="n"/>
      <c r="H11" s="9" t="n"/>
      <c r="I11" s="9" t="n"/>
      <c r="J11" s="9" t="n"/>
      <c r="K11" s="9" t="n"/>
      <c r="L11" s="9" t="n"/>
    </row>
    <row r="12">
      <c r="A12" s="2" t="inlineStr">
        <is>
          <t>Home Tab</t>
        </is>
      </c>
      <c r="B12" s="2" t="inlineStr">
        <is>
          <t>Open project</t>
        </is>
      </c>
      <c r="C12" s="2" t="inlineStr">
        <is>
          <t>Load a saved map session containing layers, extent, filters, drawings and other supported state.</t>
        </is>
      </c>
      <c r="D12" s="3">
        <f>SUM(E12:L12)</f>
        <v/>
      </c>
      <c r="E12" s="3" t="n">
        <v>16</v>
      </c>
      <c r="F12" s="3" t="n">
        <v>16</v>
      </c>
      <c r="G12" s="3" t="n">
        <v>4</v>
      </c>
      <c r="H12" s="3" t="n">
        <v>0</v>
      </c>
      <c r="I12" s="3" t="n">
        <v>4</v>
      </c>
      <c r="J12" s="3" t="n">
        <v>0</v>
      </c>
      <c r="K12" s="3" t="n">
        <v>0</v>
      </c>
      <c r="L12" s="3" t="n">
        <v>0</v>
      </c>
    </row>
    <row r="13">
      <c r="A13" s="2" t="inlineStr">
        <is>
          <t>Home Tab</t>
        </is>
      </c>
      <c r="B13" s="2" t="inlineStr">
        <is>
          <t>Save project</t>
        </is>
      </c>
      <c r="C13" s="2" t="inlineStr">
        <is>
          <t>Persist the current map session for the authenticated user.</t>
        </is>
      </c>
      <c r="D13" s="3">
        <f>SUM(E13:L13)</f>
        <v/>
      </c>
      <c r="E13" s="3" t="n">
        <v>16</v>
      </c>
      <c r="F13" s="3" t="n">
        <v>24</v>
      </c>
      <c r="G13" s="3" t="n">
        <v>4</v>
      </c>
      <c r="H13" s="3" t="n">
        <v>0</v>
      </c>
      <c r="I13" s="3" t="n">
        <v>4</v>
      </c>
      <c r="J13" s="3" t="n">
        <v>0</v>
      </c>
      <c r="K13" s="3" t="n">
        <v>0</v>
      </c>
      <c r="L13" s="3" t="n">
        <v>0</v>
      </c>
    </row>
    <row r="14">
      <c r="A14" s="2" t="inlineStr">
        <is>
          <t>Home Tab</t>
        </is>
      </c>
      <c r="B14" s="2" t="inlineStr">
        <is>
          <t>Save project as</t>
        </is>
      </c>
      <c r="C14" s="2" t="inlineStr">
        <is>
          <t>Copy an existing project under a new name.</t>
        </is>
      </c>
      <c r="D14" s="3">
        <f>SUM(E14:L14)</f>
        <v/>
      </c>
      <c r="E14" s="3" t="n">
        <v>8</v>
      </c>
      <c r="F14" s="3" t="n">
        <v>4</v>
      </c>
      <c r="G14" s="3" t="n">
        <v>0</v>
      </c>
      <c r="H14" s="3" t="n">
        <v>0</v>
      </c>
      <c r="I14" s="3" t="n">
        <v>4</v>
      </c>
      <c r="J14" s="3" t="n">
        <v>0</v>
      </c>
      <c r="K14" s="3" t="n">
        <v>0</v>
      </c>
      <c r="L14" s="3" t="n">
        <v>0</v>
      </c>
    </row>
    <row r="15">
      <c r="A15" s="2" t="inlineStr">
        <is>
          <t>Home Tab</t>
        </is>
      </c>
      <c r="B15" s="2" t="inlineStr">
        <is>
          <t>Initial View</t>
        </is>
      </c>
      <c r="C15" s="2" t="inlineStr">
        <is>
          <t>Return the map to its configured startup extent and state.</t>
        </is>
      </c>
      <c r="D15" s="3">
        <f>SUM(E15:L15)</f>
        <v/>
      </c>
      <c r="E15" s="3" t="n">
        <v>4</v>
      </c>
      <c r="F15" s="3" t="n">
        <v>0</v>
      </c>
      <c r="G15" s="3" t="n">
        <v>0</v>
      </c>
      <c r="H15" s="3" t="n">
        <v>0</v>
      </c>
      <c r="I15" s="3" t="n">
        <v>4</v>
      </c>
      <c r="J15" s="3" t="n">
        <v>0</v>
      </c>
      <c r="K15" s="3" t="n">
        <v>0</v>
      </c>
      <c r="L15" s="3" t="n">
        <v>0</v>
      </c>
    </row>
    <row r="16">
      <c r="A16" s="2" t="inlineStr">
        <is>
          <t>Home Tab</t>
        </is>
      </c>
      <c r="B16" s="2" t="inlineStr">
        <is>
          <t>Home panel</t>
        </is>
      </c>
      <c r="C16" s="2" t="inlineStr">
        <is>
          <t>Welcome content, application description, release information and useful links.</t>
        </is>
      </c>
      <c r="D16" s="3">
        <f>SUM(E16:L16)</f>
        <v/>
      </c>
      <c r="E16" s="3" t="n">
        <v>8</v>
      </c>
      <c r="F16" s="3" t="n">
        <v>0</v>
      </c>
      <c r="G16" s="3" t="n">
        <v>4</v>
      </c>
      <c r="H16" s="3" t="n">
        <v>0</v>
      </c>
      <c r="I16" s="3" t="n">
        <v>4</v>
      </c>
      <c r="J16" s="3" t="n">
        <v>0</v>
      </c>
      <c r="K16" s="3" t="n">
        <v>0</v>
      </c>
      <c r="L16" s="3" t="n">
        <v>0</v>
      </c>
    </row>
    <row r="17">
      <c r="A17" s="2" t="inlineStr">
        <is>
          <t>Home Tab</t>
        </is>
      </c>
      <c r="B17" s="2" t="inlineStr">
        <is>
          <t>Previous Extent</t>
        </is>
      </c>
      <c r="C17" s="2" t="inlineStr">
        <is>
          <t>Navigate backwards through map extent history.</t>
        </is>
      </c>
      <c r="D17" s="3">
        <f>SUM(E17:L17)</f>
        <v/>
      </c>
      <c r="E17" s="3" t="n">
        <v>12</v>
      </c>
      <c r="F17" s="3" t="n">
        <v>0</v>
      </c>
      <c r="G17" s="3" t="n">
        <v>0</v>
      </c>
      <c r="H17" s="3" t="n">
        <v>0</v>
      </c>
      <c r="I17" s="3" t="n">
        <v>4</v>
      </c>
      <c r="J17" s="3" t="n">
        <v>0</v>
      </c>
      <c r="K17" s="3" t="n">
        <v>0</v>
      </c>
      <c r="L17" s="3" t="n">
        <v>0</v>
      </c>
    </row>
    <row r="18">
      <c r="A18" s="2" t="inlineStr">
        <is>
          <t>Home Tab</t>
        </is>
      </c>
      <c r="B18" s="2" t="inlineStr">
        <is>
          <t>Next Extent</t>
        </is>
      </c>
      <c r="C18" s="2" t="inlineStr">
        <is>
          <t>Navigate forwards through map extent history.</t>
        </is>
      </c>
      <c r="D18" s="3">
        <f>SUM(E18:L18)</f>
        <v/>
      </c>
      <c r="E18" s="3" t="n">
        <v>4</v>
      </c>
      <c r="F18" s="3" t="n">
        <v>0</v>
      </c>
      <c r="G18" s="3" t="n">
        <v>0</v>
      </c>
      <c r="H18" s="3" t="n">
        <v>0</v>
      </c>
      <c r="I18" s="3" t="n">
        <v>4</v>
      </c>
      <c r="J18" s="3" t="n">
        <v>0</v>
      </c>
      <c r="K18" s="3" t="n">
        <v>0</v>
      </c>
      <c r="L18" s="3" t="n">
        <v>0</v>
      </c>
    </row>
    <row r="19">
      <c r="A19" s="2" t="inlineStr">
        <is>
          <t>Home Tab</t>
        </is>
      </c>
      <c r="B19" s="2" t="inlineStr">
        <is>
          <t>Zoom to XY</t>
        </is>
      </c>
      <c r="C19" s="2" t="inlineStr">
        <is>
          <t>Navigate using latitude/longitude, Vicgrid, MGA and supported coordinate formats.</t>
        </is>
      </c>
      <c r="D19" s="3">
        <f>SUM(E19:L19)</f>
        <v/>
      </c>
      <c r="E19" s="3" t="n">
        <v>12</v>
      </c>
      <c r="F19" s="3" t="n">
        <v>4</v>
      </c>
      <c r="G19" s="3" t="n">
        <v>4</v>
      </c>
      <c r="H19" s="3" t="n">
        <v>0</v>
      </c>
      <c r="I19" s="3" t="n">
        <v>4</v>
      </c>
      <c r="J19" s="3" t="n">
        <v>0</v>
      </c>
      <c r="K19" s="3" t="n">
        <v>0</v>
      </c>
      <c r="L19" s="3" t="n">
        <v>0</v>
      </c>
    </row>
    <row r="20">
      <c r="A20" s="2" t="inlineStr">
        <is>
          <t>Home Tab</t>
        </is>
      </c>
      <c r="B20" s="2" t="inlineStr">
        <is>
          <t>Zones ON/OFF</t>
        </is>
      </c>
      <c r="C20" s="2" t="inlineStr">
        <is>
          <t>Efficiently toggle all configured planning-zone layers.</t>
        </is>
      </c>
      <c r="D20" s="3">
        <f>SUM(E20:L20)</f>
        <v/>
      </c>
      <c r="E20" s="3" t="n">
        <v>8</v>
      </c>
      <c r="F20" s="3" t="n">
        <v>4</v>
      </c>
      <c r="G20" s="3" t="n">
        <v>0</v>
      </c>
      <c r="H20" s="3" t="n">
        <v>0</v>
      </c>
      <c r="I20" s="3" t="n">
        <v>4</v>
      </c>
      <c r="J20" s="3" t="n">
        <v>0</v>
      </c>
      <c r="K20" s="3" t="n">
        <v>0</v>
      </c>
      <c r="L20" s="3" t="n">
        <v>0</v>
      </c>
    </row>
    <row r="21">
      <c r="A21" s="2" t="inlineStr">
        <is>
          <t>Home Tab</t>
        </is>
      </c>
      <c r="B21" s="2" t="inlineStr">
        <is>
          <t>Overlays ON/OFF</t>
        </is>
      </c>
      <c r="C21" s="2" t="inlineStr">
        <is>
          <t>Efficiently toggle all configured planning-overlay layers.</t>
        </is>
      </c>
      <c r="D21" s="3">
        <f>SUM(E21:L21)</f>
        <v/>
      </c>
      <c r="E21" s="3" t="n">
        <v>8</v>
      </c>
      <c r="F21" s="3" t="n">
        <v>4</v>
      </c>
      <c r="G21" s="3" t="n">
        <v>0</v>
      </c>
      <c r="H21" s="3" t="n">
        <v>0</v>
      </c>
      <c r="I21" s="3" t="n">
        <v>4</v>
      </c>
      <c r="J21" s="3" t="n">
        <v>0</v>
      </c>
      <c r="K21" s="3" t="n">
        <v>0</v>
      </c>
      <c r="L21" s="3" t="n">
        <v>0</v>
      </c>
    </row>
    <row r="22">
      <c r="A22" s="2" t="inlineStr">
        <is>
          <t>Home Tab</t>
        </is>
      </c>
      <c r="B22" s="2" t="inlineStr">
        <is>
          <t>Identify launcher</t>
        </is>
      </c>
      <c r="C22" s="2" t="inlineStr">
        <is>
          <t>Home-tab entry point into the shared Identify tool.</t>
        </is>
      </c>
      <c r="D22" s="3">
        <f>SUM(E22:L22)</f>
        <v/>
      </c>
      <c r="E22" s="3" t="n">
        <v>4</v>
      </c>
      <c r="F22" s="3" t="n">
        <v>0</v>
      </c>
      <c r="G22" s="3" t="n">
        <v>0</v>
      </c>
      <c r="H22" s="3" t="n">
        <v>0</v>
      </c>
      <c r="I22" s="3" t="n">
        <v>4</v>
      </c>
      <c r="J22" s="3" t="n">
        <v>0</v>
      </c>
      <c r="K22" s="3" t="n">
        <v>0</v>
      </c>
      <c r="L22" s="3" t="n">
        <v>0</v>
      </c>
    </row>
    <row r="23">
      <c r="A23" s="2" t="inlineStr">
        <is>
          <t>Home Tab</t>
        </is>
      </c>
      <c r="B23" s="2" t="inlineStr">
        <is>
          <t>Google Street View</t>
        </is>
      </c>
      <c r="C23" s="2" t="inlineStr">
        <is>
          <t>Launch and synchronise Street View position and direction with the map.</t>
        </is>
      </c>
      <c r="D23" s="3">
        <f>SUM(E23:L23)</f>
        <v/>
      </c>
      <c r="E23" s="3" t="n">
        <v>32</v>
      </c>
      <c r="F23" s="3" t="n">
        <v>16</v>
      </c>
      <c r="G23" s="3" t="n">
        <v>8</v>
      </c>
      <c r="H23" s="3" t="n">
        <v>0</v>
      </c>
      <c r="I23" s="3" t="n">
        <v>8</v>
      </c>
      <c r="J23" s="3" t="n">
        <v>0</v>
      </c>
      <c r="K23" s="3" t="n">
        <v>0</v>
      </c>
      <c r="L23" s="3" t="n">
        <v>0</v>
      </c>
    </row>
    <row r="24">
      <c r="A24" s="2" t="inlineStr">
        <is>
          <t>Home Tab</t>
        </is>
      </c>
      <c r="B24" s="2" t="inlineStr">
        <is>
          <t>Print – Custom</t>
        </is>
      </c>
      <c r="C24" s="2" t="inlineStr">
        <is>
          <t>Template-based print with dynamic legend, page options, title/subtitle and secured layers.</t>
        </is>
      </c>
      <c r="D24" s="3">
        <f>SUM(E24:L24)</f>
        <v/>
      </c>
      <c r="E24" s="3" t="n">
        <v>24</v>
      </c>
      <c r="F24" s="3" t="n">
        <v>64</v>
      </c>
      <c r="G24" s="3" t="n">
        <v>12</v>
      </c>
      <c r="H24" s="3" t="n">
        <v>0</v>
      </c>
      <c r="I24" s="3" t="n">
        <v>12</v>
      </c>
      <c r="J24" s="3" t="n">
        <v>0</v>
      </c>
      <c r="K24" s="3" t="n">
        <v>0</v>
      </c>
      <c r="L24" s="3" t="n">
        <v>0</v>
      </c>
    </row>
    <row r="25">
      <c r="A25" s="2" t="inlineStr">
        <is>
          <t>Home Tab</t>
        </is>
      </c>
      <c r="B25" s="2" t="inlineStr">
        <is>
          <t>Print – Standard</t>
        </is>
      </c>
      <c r="C25" s="2" t="inlineStr">
        <is>
          <t>Standard map layouts containing title, legend, scale, north arrow and disclaimer.</t>
        </is>
      </c>
      <c r="D25" s="3">
        <f>SUM(E25:L25)</f>
        <v/>
      </c>
      <c r="E25" s="3" t="n">
        <v>16</v>
      </c>
      <c r="F25" s="3" t="n">
        <v>48</v>
      </c>
      <c r="G25" s="3" t="n">
        <v>8</v>
      </c>
      <c r="H25" s="3" t="n">
        <v>0</v>
      </c>
      <c r="I25" s="3" t="n">
        <v>8</v>
      </c>
      <c r="J25" s="3" t="n">
        <v>0</v>
      </c>
      <c r="K25" s="3" t="n">
        <v>0</v>
      </c>
      <c r="L25" s="3" t="n">
        <v>0</v>
      </c>
    </row>
    <row r="26">
      <c r="A26" s="2" t="inlineStr">
        <is>
          <t>Home Tab</t>
        </is>
      </c>
      <c r="B26" s="2" t="inlineStr">
        <is>
          <t>Export map</t>
        </is>
      </c>
      <c r="C26" s="2" t="inlineStr">
        <is>
          <t>Export the visible map as PNG/JPEG/PDF with reliable secure download handling.</t>
        </is>
      </c>
      <c r="D26" s="3">
        <f>SUM(E26:L26)</f>
        <v/>
      </c>
      <c r="E26" s="3" t="n">
        <v>16</v>
      </c>
      <c r="F26" s="3" t="n">
        <v>16</v>
      </c>
      <c r="G26" s="3" t="n">
        <v>4</v>
      </c>
      <c r="H26" s="3" t="n">
        <v>0</v>
      </c>
      <c r="I26" s="3" t="n">
        <v>4</v>
      </c>
      <c r="J26" s="3" t="n">
        <v>0</v>
      </c>
      <c r="K26" s="3" t="n">
        <v>0</v>
      </c>
      <c r="L26" s="3" t="n">
        <v>0</v>
      </c>
    </row>
    <row r="27">
      <c r="A27" s="2" t="inlineStr">
        <is>
          <t>Home Tab</t>
        </is>
      </c>
      <c r="B27" s="2" t="inlineStr">
        <is>
          <t>Upload Data launcher</t>
        </is>
      </c>
      <c r="C27" s="2" t="inlineStr">
        <is>
          <t>Home-tab entry point into the shared data-upload workflow.</t>
        </is>
      </c>
      <c r="D27" s="3">
        <f>SUM(E27:L27)</f>
        <v/>
      </c>
      <c r="E27" s="3" t="n">
        <v>4</v>
      </c>
      <c r="F27" s="3" t="n">
        <v>0</v>
      </c>
      <c r="G27" s="3" t="n">
        <v>0</v>
      </c>
      <c r="H27" s="3" t="n">
        <v>0</v>
      </c>
      <c r="I27" s="3" t="n">
        <v>4</v>
      </c>
      <c r="J27" s="3" t="n">
        <v>0</v>
      </c>
      <c r="K27" s="3" t="n">
        <v>0</v>
      </c>
      <c r="L27" s="3" t="n">
        <v>0</v>
      </c>
    </row>
    <row r="28">
      <c r="A28" s="2" t="inlineStr">
        <is>
          <t>Home Tab</t>
        </is>
      </c>
      <c r="B28" s="2" t="inlineStr">
        <is>
          <t>Share session</t>
        </is>
      </c>
      <c r="C28" s="2" t="inlineStr">
        <is>
          <t>Generate a durable share link containing permitted map state; email/share integration.</t>
        </is>
      </c>
      <c r="D28" s="3">
        <f>SUM(E28:L28)</f>
        <v/>
      </c>
      <c r="E28" s="3" t="n">
        <v>24</v>
      </c>
      <c r="F28" s="3" t="n">
        <v>24</v>
      </c>
      <c r="G28" s="3" t="n">
        <v>8</v>
      </c>
      <c r="H28" s="3" t="n">
        <v>0</v>
      </c>
      <c r="I28" s="3" t="n">
        <v>8</v>
      </c>
      <c r="J28" s="3" t="n">
        <v>0</v>
      </c>
      <c r="K28" s="3" t="n">
        <v>0</v>
      </c>
      <c r="L28" s="3" t="n">
        <v>0</v>
      </c>
    </row>
    <row r="29">
      <c r="A29" s="2" t="inlineStr">
        <is>
          <t>Home Tab</t>
        </is>
      </c>
      <c r="B29" s="2" t="inlineStr">
        <is>
          <t>Time Slider launcher</t>
        </is>
      </c>
      <c r="C29" s="2" t="inlineStr">
        <is>
          <t>Home-tab entry point into the shared temporal-data control.</t>
        </is>
      </c>
      <c r="D29" s="3">
        <f>SUM(E29:L29)</f>
        <v/>
      </c>
      <c r="E29" s="3" t="n">
        <v>4</v>
      </c>
      <c r="F29" s="3" t="n">
        <v>0</v>
      </c>
      <c r="G29" s="3" t="n">
        <v>0</v>
      </c>
      <c r="H29" s="3" t="n">
        <v>0</v>
      </c>
      <c r="I29" s="3" t="n">
        <v>4</v>
      </c>
      <c r="J29" s="3" t="n">
        <v>0</v>
      </c>
      <c r="K29" s="3" t="n">
        <v>0</v>
      </c>
      <c r="L29" s="3" t="n">
        <v>0</v>
      </c>
    </row>
    <row r="30">
      <c r="A30" s="2" t="inlineStr">
        <is>
          <t>Home Tab</t>
        </is>
      </c>
      <c r="B30" s="2" t="inlineStr">
        <is>
          <t>Help</t>
        </is>
      </c>
      <c r="C30" s="2" t="inlineStr">
        <is>
          <t>Contextual help, FAQ and release-note integration.</t>
        </is>
      </c>
      <c r="D30" s="3">
        <f>SUM(E30:L30)</f>
        <v/>
      </c>
      <c r="E30" s="3" t="n">
        <v>8</v>
      </c>
      <c r="F30" s="3" t="n">
        <v>0</v>
      </c>
      <c r="G30" s="3" t="n">
        <v>4</v>
      </c>
      <c r="H30" s="3" t="n">
        <v>0</v>
      </c>
      <c r="I30" s="3" t="n">
        <v>4</v>
      </c>
      <c r="J30" s="3" t="n">
        <v>0</v>
      </c>
      <c r="K30" s="3" t="n">
        <v>0</v>
      </c>
      <c r="L30" s="3" t="n">
        <v>0</v>
      </c>
    </row>
    <row r="31">
      <c r="A31" s="2" t="inlineStr">
        <is>
          <t>Home Tab</t>
        </is>
      </c>
      <c r="B31" s="2" t="inlineStr">
        <is>
          <t>Feedback</t>
        </is>
      </c>
      <c r="C31" s="2" t="inlineStr">
        <is>
          <t>Feedback form and Jira/service-desk integration with application context.</t>
        </is>
      </c>
      <c r="D31" s="3">
        <f>SUM(E31:L31)</f>
        <v/>
      </c>
      <c r="E31" s="3" t="n">
        <v>8</v>
      </c>
      <c r="F31" s="3" t="n">
        <v>8</v>
      </c>
      <c r="G31" s="3" t="n">
        <v>4</v>
      </c>
      <c r="H31" s="3" t="n">
        <v>0</v>
      </c>
      <c r="I31" s="3" t="n">
        <v>4</v>
      </c>
      <c r="J31" s="3" t="n">
        <v>0</v>
      </c>
      <c r="K31" s="3" t="n">
        <v>0</v>
      </c>
      <c r="L31" s="3" t="n">
        <v>0</v>
      </c>
    </row>
    <row r="32">
      <c r="A32" s="2" t="inlineStr">
        <is>
          <t>Home Tab</t>
        </is>
      </c>
      <c r="B32" s="2" t="inlineStr">
        <is>
          <t>Export Legend</t>
        </is>
      </c>
      <c r="C32" s="2" t="inlineStr">
        <is>
          <t>Export the active map legend independently as an image or PDF.</t>
        </is>
      </c>
      <c r="D32" s="3">
        <f>SUM(E32:L32)</f>
        <v/>
      </c>
      <c r="E32" s="3" t="n">
        <v>8</v>
      </c>
      <c r="F32" s="3" t="n">
        <v>16</v>
      </c>
      <c r="G32" s="3" t="n">
        <v>4</v>
      </c>
      <c r="H32" s="3" t="n">
        <v>0</v>
      </c>
      <c r="I32" s="3" t="n">
        <v>4</v>
      </c>
      <c r="J32" s="3" t="n">
        <v>0</v>
      </c>
      <c r="K32" s="3" t="n">
        <v>0</v>
      </c>
      <c r="L32" s="3" t="n">
        <v>0</v>
      </c>
    </row>
    <row r="33">
      <c r="A33" s="2" t="inlineStr">
        <is>
          <t>Home Tab</t>
        </is>
      </c>
      <c r="B33" s="2" t="inlineStr">
        <is>
          <t>Help Videos</t>
        </is>
      </c>
      <c r="C33" s="2" t="inlineStr">
        <is>
          <t>Contextual links or embedded videos for important workflows.</t>
        </is>
      </c>
      <c r="D33" s="3">
        <f>SUM(E33:L33)</f>
        <v/>
      </c>
      <c r="E33" s="3" t="n">
        <v>4</v>
      </c>
      <c r="F33" s="3" t="n">
        <v>0</v>
      </c>
      <c r="G33" s="3" t="n">
        <v>4</v>
      </c>
      <c r="H33" s="3" t="n">
        <v>0</v>
      </c>
      <c r="I33" s="3" t="n">
        <v>0</v>
      </c>
      <c r="J33" s="3" t="n">
        <v>0</v>
      </c>
      <c r="K33" s="3" t="n">
        <v>0</v>
      </c>
      <c r="L33" s="3" t="n">
        <v>0</v>
      </c>
    </row>
    <row r="34">
      <c r="A34" s="6" t="inlineStr">
        <is>
          <t>Application Tools</t>
        </is>
      </c>
      <c r="B34" s="6" t="inlineStr">
        <is>
          <t>Home Tab subtotal</t>
        </is>
      </c>
      <c r="C34" s="6" t="inlineStr"/>
      <c r="D34" s="7">
        <f>SUM(D12:D33)</f>
        <v/>
      </c>
      <c r="E34" s="7">
        <f>SUM(E12:E33)</f>
        <v/>
      </c>
      <c r="F34" s="7">
        <f>SUM(F12:F33)</f>
        <v/>
      </c>
      <c r="G34" s="7">
        <f>SUM(G12:G33)</f>
        <v/>
      </c>
      <c r="H34" s="7">
        <f>SUM(H12:H33)</f>
        <v/>
      </c>
      <c r="I34" s="7">
        <f>SUM(I12:I33)</f>
        <v/>
      </c>
      <c r="J34" s="7">
        <f>SUM(J12:J33)</f>
        <v/>
      </c>
      <c r="K34" s="7">
        <f>SUM(K12:K33)</f>
        <v/>
      </c>
      <c r="L34" s="7">
        <f>SUM(L12:L33)</f>
        <v/>
      </c>
    </row>
    <row r="35">
      <c r="A35" s="10" t="inlineStr">
        <is>
          <t>Application Tools</t>
        </is>
      </c>
      <c r="B35" s="10" t="inlineStr">
        <is>
          <t>Map Tab</t>
        </is>
      </c>
      <c r="C35" s="10" t="inlineStr">
        <is>
          <t>Ribbon / contextual tool group</t>
        </is>
      </c>
      <c r="D35" s="11" t="n"/>
      <c r="E35" s="11" t="n"/>
      <c r="F35" s="11" t="n"/>
      <c r="G35" s="11" t="n"/>
      <c r="H35" s="11" t="n"/>
      <c r="I35" s="11" t="n"/>
      <c r="J35" s="11" t="n"/>
      <c r="K35" s="11" t="n"/>
      <c r="L35" s="11" t="n"/>
    </row>
    <row r="36">
      <c r="A36" s="2" t="inlineStr">
        <is>
          <t>Map Tab</t>
        </is>
      </c>
      <c r="B36" s="2" t="inlineStr">
        <is>
          <t>Layer Catalogue</t>
        </is>
      </c>
      <c r="C36" s="2" t="inlineStr">
        <is>
          <t>Search, browse and add authorised datasets using catalogue metadata and categories.</t>
        </is>
      </c>
      <c r="D36" s="3">
        <f>SUM(E36:L36)</f>
        <v/>
      </c>
      <c r="E36" s="3" t="n">
        <v>40</v>
      </c>
      <c r="F36" s="3" t="n">
        <v>40</v>
      </c>
      <c r="G36" s="3" t="n">
        <v>16</v>
      </c>
      <c r="H36" s="3" t="n">
        <v>0</v>
      </c>
      <c r="I36" s="3" t="n">
        <v>8</v>
      </c>
      <c r="J36" s="3" t="n">
        <v>0</v>
      </c>
      <c r="K36" s="3" t="n">
        <v>0</v>
      </c>
      <c r="L36" s="3" t="n">
        <v>0</v>
      </c>
    </row>
    <row r="37">
      <c r="A37" s="2" t="inlineStr">
        <is>
          <t>Map Tab</t>
        </is>
      </c>
      <c r="B37" s="2" t="inlineStr">
        <is>
          <t>Layer List</t>
        </is>
      </c>
      <c r="C37" s="2" t="inlineStr">
        <is>
          <t>Groups, ordering, visibility, opacity, legend, scale restrictions and layer actions.</t>
        </is>
      </c>
      <c r="D37" s="3">
        <f>SUM(E37:L37)</f>
        <v/>
      </c>
      <c r="E37" s="3" t="n">
        <v>64</v>
      </c>
      <c r="F37" s="3" t="n">
        <v>16</v>
      </c>
      <c r="G37" s="3" t="n">
        <v>16</v>
      </c>
      <c r="H37" s="3" t="n">
        <v>0</v>
      </c>
      <c r="I37" s="3" t="n">
        <v>16</v>
      </c>
      <c r="J37" s="3" t="n">
        <v>0</v>
      </c>
      <c r="K37" s="3" t="n">
        <v>0</v>
      </c>
      <c r="L37" s="3" t="n">
        <v>0</v>
      </c>
    </row>
    <row r="38">
      <c r="A38" s="2" t="inlineStr">
        <is>
          <t>Map Tab</t>
        </is>
      </c>
      <c r="B38" s="2" t="inlineStr">
        <is>
          <t>Time Slider</t>
        </is>
      </c>
      <c r="C38" s="2" t="inlineStr">
        <is>
          <t>Discover time-enabled layers and filter one or more layers by date, range or period.</t>
        </is>
      </c>
      <c r="D38" s="3">
        <f>SUM(E38:L38)</f>
        <v/>
      </c>
      <c r="E38" s="3" t="n">
        <v>48</v>
      </c>
      <c r="F38" s="3" t="n">
        <v>32</v>
      </c>
      <c r="G38" s="3" t="n">
        <v>8</v>
      </c>
      <c r="H38" s="3" t="n">
        <v>0</v>
      </c>
      <c r="I38" s="3" t="n">
        <v>16</v>
      </c>
      <c r="J38" s="3" t="n">
        <v>0</v>
      </c>
      <c r="K38" s="3" t="n">
        <v>0</v>
      </c>
      <c r="L38" s="3" t="n">
        <v>0</v>
      </c>
    </row>
    <row r="39">
      <c r="A39" s="2" t="inlineStr">
        <is>
          <t>Map Tab</t>
        </is>
      </c>
      <c r="B39" s="2" t="inlineStr">
        <is>
          <t>Identify with options</t>
        </is>
      </c>
      <c r="C39" s="2" t="inlineStr">
        <is>
          <t>Point, rectangle, polygon and freehand identify; selectable layers, buffer and add/subtract result modes.</t>
        </is>
      </c>
      <c r="D39" s="3">
        <f>SUM(E39:L39)</f>
        <v/>
      </c>
      <c r="E39" s="3" t="n">
        <v>48</v>
      </c>
      <c r="F39" s="3" t="n">
        <v>40</v>
      </c>
      <c r="G39" s="3" t="n">
        <v>8</v>
      </c>
      <c r="H39" s="3" t="n">
        <v>0</v>
      </c>
      <c r="I39" s="3" t="n">
        <v>16</v>
      </c>
      <c r="J39" s="3" t="n">
        <v>0</v>
      </c>
      <c r="K39" s="3" t="n">
        <v>0</v>
      </c>
      <c r="L39" s="3" t="n">
        <v>0</v>
      </c>
    </row>
    <row r="40">
      <c r="A40" s="2" t="inlineStr">
        <is>
          <t>Map Tab</t>
        </is>
      </c>
      <c r="B40" s="2" t="inlineStr">
        <is>
          <t>Query</t>
        </is>
      </c>
      <c r="C40" s="2" t="inlineStr">
        <is>
          <t>Visual attribute query builder with conditions, validation, paging and result actions.</t>
        </is>
      </c>
      <c r="D40" s="3">
        <f>SUM(E40:L40)</f>
        <v/>
      </c>
      <c r="E40" s="3" t="n">
        <v>40</v>
      </c>
      <c r="F40" s="3" t="n">
        <v>40</v>
      </c>
      <c r="G40" s="3" t="n">
        <v>8</v>
      </c>
      <c r="H40" s="3" t="n">
        <v>0</v>
      </c>
      <c r="I40" s="3" t="n">
        <v>8</v>
      </c>
      <c r="J40" s="3" t="n">
        <v>0</v>
      </c>
      <c r="K40" s="3" t="n">
        <v>0</v>
      </c>
      <c r="L40" s="3" t="n">
        <v>0</v>
      </c>
    </row>
    <row r="41">
      <c r="A41" s="2" t="inlineStr">
        <is>
          <t>Map Tab</t>
        </is>
      </c>
      <c r="B41" s="2" t="inlineStr">
        <is>
          <t>Zone Intersect</t>
        </is>
      </c>
      <c r="C41" s="2" t="inlineStr">
        <is>
          <t>Intersect a property or drawing with planning zones and summarise area by zone.</t>
        </is>
      </c>
      <c r="D41" s="3">
        <f>SUM(E41:L41)</f>
        <v/>
      </c>
      <c r="E41" s="3" t="n">
        <v>24</v>
      </c>
      <c r="F41" s="3" t="n">
        <v>32</v>
      </c>
      <c r="G41" s="3" t="n">
        <v>0</v>
      </c>
      <c r="H41" s="3" t="n">
        <v>0</v>
      </c>
      <c r="I41" s="3" t="n">
        <v>8</v>
      </c>
      <c r="J41" s="3" t="n">
        <v>0</v>
      </c>
      <c r="K41" s="3" t="n">
        <v>0</v>
      </c>
      <c r="L41" s="3" t="n">
        <v>0</v>
      </c>
    </row>
    <row r="42">
      <c r="A42" s="2" t="inlineStr">
        <is>
          <t>Map Tab</t>
        </is>
      </c>
      <c r="B42" s="2" t="inlineStr">
        <is>
          <t>Overlay Intersect</t>
        </is>
      </c>
      <c r="C42" s="2" t="inlineStr">
        <is>
          <t>Intersect a property or drawing with planning overlays and summarise area by overlay.</t>
        </is>
      </c>
      <c r="D42" s="3">
        <f>SUM(E42:L42)</f>
        <v/>
      </c>
      <c r="E42" s="3" t="n">
        <v>24</v>
      </c>
      <c r="F42" s="3" t="n">
        <v>32</v>
      </c>
      <c r="G42" s="3" t="n">
        <v>0</v>
      </c>
      <c r="H42" s="3" t="n">
        <v>0</v>
      </c>
      <c r="I42" s="3" t="n">
        <v>8</v>
      </c>
      <c r="J42" s="3" t="n">
        <v>0</v>
      </c>
      <c r="K42" s="3" t="n">
        <v>0</v>
      </c>
      <c r="L42" s="3" t="n">
        <v>0</v>
      </c>
    </row>
    <row r="43">
      <c r="A43" s="2" t="inlineStr">
        <is>
          <t>Map Tab</t>
        </is>
      </c>
      <c r="B43" s="2" t="inlineStr">
        <is>
          <t>Amendment Search</t>
        </is>
      </c>
      <c r="C43" s="2" t="inlineStr">
        <is>
          <t>Planning scheme and amendment autocomplete, status/type criteria and map navigation.</t>
        </is>
      </c>
      <c r="D43" s="3">
        <f>SUM(E43:L43)</f>
        <v/>
      </c>
      <c r="E43" s="3" t="n">
        <v>24</v>
      </c>
      <c r="F43" s="3" t="n">
        <v>32</v>
      </c>
      <c r="G43" s="3" t="n">
        <v>0</v>
      </c>
      <c r="H43" s="3" t="n">
        <v>0</v>
      </c>
      <c r="I43" s="3" t="n">
        <v>8</v>
      </c>
      <c r="J43" s="3" t="n">
        <v>0</v>
      </c>
      <c r="K43" s="3" t="n">
        <v>0</v>
      </c>
      <c r="L43" s="3" t="n">
        <v>0</v>
      </c>
    </row>
    <row r="44">
      <c r="A44" s="2" t="inlineStr">
        <is>
          <t>Map Tab</t>
        </is>
      </c>
      <c r="B44" s="2" t="inlineStr">
        <is>
          <t>Heritage Overlay Search</t>
        </is>
      </c>
      <c r="C44" s="2" t="inlineStr">
        <is>
          <t>Search by LGA and heritage-overlay number, activate the layer and zoom to results.</t>
        </is>
      </c>
      <c r="D44" s="3">
        <f>SUM(E44:L44)</f>
        <v/>
      </c>
      <c r="E44" s="3" t="n">
        <v>24</v>
      </c>
      <c r="F44" s="3" t="n">
        <v>24</v>
      </c>
      <c r="G44" s="3" t="n">
        <v>0</v>
      </c>
      <c r="H44" s="3" t="n">
        <v>0</v>
      </c>
      <c r="I44" s="3" t="n">
        <v>8</v>
      </c>
      <c r="J44" s="3" t="n">
        <v>0</v>
      </c>
      <c r="K44" s="3" t="n">
        <v>0</v>
      </c>
      <c r="L44" s="3" t="n">
        <v>0</v>
      </c>
    </row>
    <row r="45">
      <c r="A45" s="2" t="inlineStr">
        <is>
          <t>Map Tab</t>
        </is>
      </c>
      <c r="B45" s="2" t="inlineStr">
        <is>
          <t>Generic Layer Filter</t>
        </is>
      </c>
      <c r="C45" s="2" t="inlineStr">
        <is>
          <t>Create and apply attribute conditions that restrict the displayed features of a layer.</t>
        </is>
      </c>
      <c r="D45" s="3">
        <f>SUM(E45:L45)</f>
        <v/>
      </c>
      <c r="E45" s="3" t="n">
        <v>24</v>
      </c>
      <c r="F45" s="3" t="n">
        <v>32</v>
      </c>
      <c r="G45" s="3" t="n">
        <v>0</v>
      </c>
      <c r="H45" s="3" t="n">
        <v>0</v>
      </c>
      <c r="I45" s="3" t="n">
        <v>8</v>
      </c>
      <c r="J45" s="3" t="n">
        <v>0</v>
      </c>
      <c r="K45" s="3" t="n">
        <v>0</v>
      </c>
      <c r="L45" s="3" t="n">
        <v>0</v>
      </c>
    </row>
    <row r="46">
      <c r="A46" s="2" t="inlineStr">
        <is>
          <t>Map Tab</t>
        </is>
      </c>
      <c r="B46" s="2" t="inlineStr">
        <is>
          <t>Filter Overlays</t>
        </is>
      </c>
      <c r="C46" s="2" t="inlineStr">
        <is>
          <t>Filter overlay layers by schedule or subtype, such as ESO1.</t>
        </is>
      </c>
      <c r="D46" s="3">
        <f>SUM(E46:L46)</f>
        <v/>
      </c>
      <c r="E46" s="3" t="n">
        <v>24</v>
      </c>
      <c r="F46" s="3" t="n">
        <v>16</v>
      </c>
      <c r="G46" s="3" t="n">
        <v>0</v>
      </c>
      <c r="H46" s="3" t="n">
        <v>0</v>
      </c>
      <c r="I46" s="3" t="n">
        <v>8</v>
      </c>
      <c r="J46" s="3" t="n">
        <v>0</v>
      </c>
      <c r="K46" s="3" t="n">
        <v>0</v>
      </c>
      <c r="L46" s="3" t="n">
        <v>0</v>
      </c>
    </row>
    <row r="47">
      <c r="A47" s="2" t="inlineStr">
        <is>
          <t>Map Tab</t>
        </is>
      </c>
      <c r="B47" s="2" t="inlineStr">
        <is>
          <t>Filter Zones</t>
        </is>
      </c>
      <c r="C47" s="2" t="inlineStr">
        <is>
          <t>Filter zone layers by schedule or subtype, such as LDRZ1.</t>
        </is>
      </c>
      <c r="D47" s="3">
        <f>SUM(E47:L47)</f>
        <v/>
      </c>
      <c r="E47" s="3" t="n">
        <v>24</v>
      </c>
      <c r="F47" s="3" t="n">
        <v>16</v>
      </c>
      <c r="G47" s="3" t="n">
        <v>0</v>
      </c>
      <c r="H47" s="3" t="n">
        <v>0</v>
      </c>
      <c r="I47" s="3" t="n">
        <v>8</v>
      </c>
      <c r="J47" s="3" t="n">
        <v>0</v>
      </c>
      <c r="K47" s="3" t="n">
        <v>0</v>
      </c>
      <c r="L47" s="3" t="n">
        <v>0</v>
      </c>
    </row>
    <row r="48">
      <c r="A48" s="2" t="inlineStr">
        <is>
          <t>Map Tab</t>
        </is>
      </c>
      <c r="B48" s="2" t="inlineStr">
        <is>
          <t>Clear Filter</t>
        </is>
      </c>
      <c r="C48" s="2" t="inlineStr">
        <is>
          <t>Remove active filters and restore the original layer view efficiently.</t>
        </is>
      </c>
      <c r="D48" s="3">
        <f>SUM(E48:L48)</f>
        <v/>
      </c>
      <c r="E48" s="3" t="n">
        <v>4</v>
      </c>
      <c r="F48" s="3" t="n">
        <v>0</v>
      </c>
      <c r="G48" s="3" t="n">
        <v>0</v>
      </c>
      <c r="H48" s="3" t="n">
        <v>0</v>
      </c>
      <c r="I48" s="3" t="n">
        <v>4</v>
      </c>
      <c r="J48" s="3" t="n">
        <v>0</v>
      </c>
      <c r="K48" s="3" t="n">
        <v>0</v>
      </c>
      <c r="L48" s="3" t="n">
        <v>0</v>
      </c>
    </row>
    <row r="49">
      <c r="A49" s="2" t="inlineStr">
        <is>
          <t>Map Tab</t>
        </is>
      </c>
      <c r="B49" s="2" t="inlineStr">
        <is>
          <t>Upload Data</t>
        </is>
      </c>
      <c r="C49" s="2" t="inlineStr">
        <is>
          <t>Validate and load CSV, XLSX, KML, GeoJSON and zipped Shapefile data into the user session.</t>
        </is>
      </c>
      <c r="D49" s="3">
        <f>SUM(E49:L49)</f>
        <v/>
      </c>
      <c r="E49" s="3" t="n">
        <v>40</v>
      </c>
      <c r="F49" s="3" t="n">
        <v>64</v>
      </c>
      <c r="G49" s="3" t="n">
        <v>8</v>
      </c>
      <c r="H49" s="3" t="n">
        <v>0</v>
      </c>
      <c r="I49" s="3" t="n">
        <v>16</v>
      </c>
      <c r="J49" s="3" t="n">
        <v>0</v>
      </c>
      <c r="K49" s="3" t="n">
        <v>0</v>
      </c>
      <c r="L49" s="3" t="n">
        <v>0</v>
      </c>
    </row>
    <row r="50">
      <c r="A50" s="6" t="inlineStr">
        <is>
          <t>Application Tools</t>
        </is>
      </c>
      <c r="B50" s="6" t="inlineStr">
        <is>
          <t>Map Tab subtotal</t>
        </is>
      </c>
      <c r="C50" s="6" t="inlineStr"/>
      <c r="D50" s="7">
        <f>SUM(D36:D49)</f>
        <v/>
      </c>
      <c r="E50" s="7">
        <f>SUM(E36:E49)</f>
        <v/>
      </c>
      <c r="F50" s="7">
        <f>SUM(F36:F49)</f>
        <v/>
      </c>
      <c r="G50" s="7">
        <f>SUM(G36:G49)</f>
        <v/>
      </c>
      <c r="H50" s="7">
        <f>SUM(H36:H49)</f>
        <v/>
      </c>
      <c r="I50" s="7">
        <f>SUM(I36:I49)</f>
        <v/>
      </c>
      <c r="J50" s="7">
        <f>SUM(J36:J49)</f>
        <v/>
      </c>
      <c r="K50" s="7">
        <f>SUM(K36:K49)</f>
        <v/>
      </c>
      <c r="L50" s="7">
        <f>SUM(L36:L49)</f>
        <v/>
      </c>
    </row>
    <row r="51">
      <c r="A51" s="12" t="inlineStr">
        <is>
          <t>Application Tools</t>
        </is>
      </c>
      <c r="B51" s="12" t="inlineStr">
        <is>
          <t>Tools Tab</t>
        </is>
      </c>
      <c r="C51" s="12" t="inlineStr">
        <is>
          <t>Ribbon / contextual tool group</t>
        </is>
      </c>
      <c r="D51" s="13" t="n"/>
      <c r="E51" s="13" t="n"/>
      <c r="F51" s="13" t="n"/>
      <c r="G51" s="13" t="n"/>
      <c r="H51" s="13" t="n"/>
      <c r="I51" s="13" t="n"/>
      <c r="J51" s="13" t="n"/>
      <c r="K51" s="13" t="n"/>
      <c r="L51" s="13" t="n"/>
    </row>
    <row r="52">
      <c r="A52" s="2" t="inlineStr">
        <is>
          <t>Tools Tab</t>
        </is>
      </c>
      <c r="B52" s="2" t="inlineStr">
        <is>
          <t>Measure distance/area</t>
        </is>
      </c>
      <c r="C52" s="2" t="inlineStr">
        <is>
          <t>Draw distance and area measurements, display segment values and optionally snap to configured layers.</t>
        </is>
      </c>
      <c r="D52" s="3">
        <f>SUM(E52:L52)</f>
        <v/>
      </c>
      <c r="E52" s="3" t="n">
        <v>40</v>
      </c>
      <c r="F52" s="3" t="n">
        <v>16</v>
      </c>
      <c r="G52" s="3" t="n">
        <v>8</v>
      </c>
      <c r="H52" s="3" t="n">
        <v>0</v>
      </c>
      <c r="I52" s="3" t="n">
        <v>8</v>
      </c>
      <c r="J52" s="3" t="n">
        <v>0</v>
      </c>
      <c r="K52" s="3" t="n">
        <v>0</v>
      </c>
      <c r="L52" s="3" t="n">
        <v>0</v>
      </c>
    </row>
    <row r="53">
      <c r="A53" s="2" t="inlineStr">
        <is>
          <t>Tools Tab</t>
        </is>
      </c>
      <c r="B53" s="2" t="inlineStr">
        <is>
          <t>Drawing tool</t>
        </is>
      </c>
      <c r="C53" s="2" t="inlineStr">
        <is>
          <t>Add points, lines, polygons, circles, text and other map markups.</t>
        </is>
      </c>
      <c r="D53" s="3">
        <f>SUM(E53:L53)</f>
        <v/>
      </c>
      <c r="E53" s="3" t="n">
        <v>48</v>
      </c>
      <c r="F53" s="3" t="n">
        <v>8</v>
      </c>
      <c r="G53" s="3" t="n">
        <v>16</v>
      </c>
      <c r="H53" s="3" t="n">
        <v>0</v>
      </c>
      <c r="I53" s="3" t="n">
        <v>8</v>
      </c>
      <c r="J53" s="3" t="n">
        <v>0</v>
      </c>
      <c r="K53" s="3" t="n">
        <v>0</v>
      </c>
      <c r="L53" s="3" t="n">
        <v>0</v>
      </c>
    </row>
    <row r="54">
      <c r="A54" s="2" t="inlineStr">
        <is>
          <t>Tools Tab</t>
        </is>
      </c>
      <c r="B54" s="2" t="inlineStr">
        <is>
          <t>Edit Drawing</t>
        </is>
      </c>
      <c r="C54" s="2" t="inlineStr">
        <is>
          <t>Move vertices, reshape drawings, edit text and change styles.</t>
        </is>
      </c>
      <c r="D54" s="3">
        <f>SUM(E54:L54)</f>
        <v/>
      </c>
      <c r="E54" s="3" t="n">
        <v>32</v>
      </c>
      <c r="F54" s="3" t="n">
        <v>8</v>
      </c>
      <c r="G54" s="3" t="n">
        <v>8</v>
      </c>
      <c r="H54" s="3" t="n">
        <v>0</v>
      </c>
      <c r="I54" s="3" t="n">
        <v>8</v>
      </c>
      <c r="J54" s="3" t="n">
        <v>0</v>
      </c>
      <c r="K54" s="3" t="n">
        <v>0</v>
      </c>
      <c r="L54" s="3" t="n">
        <v>0</v>
      </c>
    </row>
    <row r="55">
      <c r="A55" s="2" t="inlineStr">
        <is>
          <t>Tools Tab</t>
        </is>
      </c>
      <c r="B55" s="2" t="inlineStr">
        <is>
          <t>Erase Drawing</t>
        </is>
      </c>
      <c r="C55" s="2" t="inlineStr">
        <is>
          <t>Select and remove an individual drawing.</t>
        </is>
      </c>
      <c r="D55" s="3">
        <f>SUM(E55:L55)</f>
        <v/>
      </c>
      <c r="E55" s="3" t="n">
        <v>4</v>
      </c>
      <c r="F55" s="3" t="n">
        <v>0</v>
      </c>
      <c r="G55" s="3" t="n">
        <v>0</v>
      </c>
      <c r="H55" s="3" t="n">
        <v>0</v>
      </c>
      <c r="I55" s="3" t="n">
        <v>4</v>
      </c>
      <c r="J55" s="3" t="n">
        <v>0</v>
      </c>
      <c r="K55" s="3" t="n">
        <v>0</v>
      </c>
      <c r="L55" s="3" t="n">
        <v>0</v>
      </c>
    </row>
    <row r="56">
      <c r="A56" s="2" t="inlineStr">
        <is>
          <t>Tools Tab</t>
        </is>
      </c>
      <c r="B56" s="2" t="inlineStr">
        <is>
          <t>Clear Drawings</t>
        </is>
      </c>
      <c r="C56" s="2" t="inlineStr">
        <is>
          <t>Remove all drawings following confirmation.</t>
        </is>
      </c>
      <c r="D56" s="3">
        <f>SUM(E56:L56)</f>
        <v/>
      </c>
      <c r="E56" s="3" t="n">
        <v>4</v>
      </c>
      <c r="F56" s="3" t="n">
        <v>0</v>
      </c>
      <c r="G56" s="3" t="n">
        <v>0</v>
      </c>
      <c r="H56" s="3" t="n">
        <v>0</v>
      </c>
      <c r="I56" s="3" t="n">
        <v>4</v>
      </c>
      <c r="J56" s="3" t="n">
        <v>0</v>
      </c>
      <c r="K56" s="3" t="n">
        <v>0</v>
      </c>
      <c r="L56" s="3" t="n">
        <v>0</v>
      </c>
    </row>
    <row r="57">
      <c r="A57" s="2" t="inlineStr">
        <is>
          <t>Tools Tab</t>
        </is>
      </c>
      <c r="B57" s="2" t="inlineStr">
        <is>
          <t>Export Drawing</t>
        </is>
      </c>
      <c r="C57" s="2" t="inlineStr">
        <is>
          <t>Export drawings and their attributes as supported spatial files.</t>
        </is>
      </c>
      <c r="D57" s="3">
        <f>SUM(E57:L57)</f>
        <v/>
      </c>
      <c r="E57" s="3" t="n">
        <v>16</v>
      </c>
      <c r="F57" s="3" t="n">
        <v>40</v>
      </c>
      <c r="G57" s="3" t="n">
        <v>0</v>
      </c>
      <c r="H57" s="3" t="n">
        <v>0</v>
      </c>
      <c r="I57" s="3" t="n">
        <v>8</v>
      </c>
      <c r="J57" s="3" t="n">
        <v>0</v>
      </c>
      <c r="K57" s="3" t="n">
        <v>0</v>
      </c>
      <c r="L57" s="3" t="n">
        <v>0</v>
      </c>
    </row>
    <row r="58">
      <c r="A58" s="2" t="inlineStr">
        <is>
          <t>Tools Tab</t>
        </is>
      </c>
      <c r="B58" s="2" t="inlineStr">
        <is>
          <t>Definition Plan</t>
        </is>
      </c>
      <c r="C58" s="2" t="inlineStr">
        <is>
          <t>Generate zone, overlay or BPA definition plans from an address or parcel.</t>
        </is>
      </c>
      <c r="D58" s="3">
        <f>SUM(E58:L58)</f>
        <v/>
      </c>
      <c r="E58" s="3" t="n">
        <v>32</v>
      </c>
      <c r="F58" s="3" t="n">
        <v>64</v>
      </c>
      <c r="G58" s="3" t="n">
        <v>8</v>
      </c>
      <c r="H58" s="3" t="n">
        <v>0</v>
      </c>
      <c r="I58" s="3" t="n">
        <v>8</v>
      </c>
      <c r="J58" s="3" t="n">
        <v>0</v>
      </c>
      <c r="K58" s="3" t="n">
        <v>0</v>
      </c>
      <c r="L58" s="3" t="n">
        <v>0</v>
      </c>
    </row>
    <row r="59">
      <c r="A59" s="2" t="inlineStr">
        <is>
          <t>Tools Tab</t>
        </is>
      </c>
      <c r="B59" s="2" t="inlineStr">
        <is>
          <t>Get Property Area</t>
        </is>
      </c>
      <c r="C59" s="2" t="inlineStr">
        <is>
          <t>Select a property and calculate authoritative area and perimeter values.</t>
        </is>
      </c>
      <c r="D59" s="3">
        <f>SUM(E59:L59)</f>
        <v/>
      </c>
      <c r="E59" s="3" t="n">
        <v>16</v>
      </c>
      <c r="F59" s="3" t="n">
        <v>16</v>
      </c>
      <c r="G59" s="3" t="n">
        <v>0</v>
      </c>
      <c r="H59" s="3" t="n">
        <v>0</v>
      </c>
      <c r="I59" s="3" t="n">
        <v>8</v>
      </c>
      <c r="J59" s="3" t="n">
        <v>0</v>
      </c>
      <c r="K59" s="3" t="n">
        <v>0</v>
      </c>
      <c r="L59" s="3" t="n">
        <v>0</v>
      </c>
    </row>
    <row r="60">
      <c r="A60" s="2" t="inlineStr">
        <is>
          <t>Tools Tab</t>
        </is>
      </c>
      <c r="B60" s="2" t="inlineStr">
        <is>
          <t>Land Calculator</t>
        </is>
      </c>
      <c r="C60" s="2" t="inlineStr">
        <is>
          <t>Compare property area with a user-drawn area and report differences and percentages.</t>
        </is>
      </c>
      <c r="D60" s="3">
        <f>SUM(E60:L60)</f>
        <v/>
      </c>
      <c r="E60" s="3" t="n">
        <v>24</v>
      </c>
      <c r="F60" s="3" t="n">
        <v>32</v>
      </c>
      <c r="G60" s="3" t="n">
        <v>0</v>
      </c>
      <c r="H60" s="3" t="n">
        <v>0</v>
      </c>
      <c r="I60" s="3" t="n">
        <v>8</v>
      </c>
      <c r="J60" s="3" t="n">
        <v>0</v>
      </c>
      <c r="K60" s="3" t="n">
        <v>0</v>
      </c>
      <c r="L60" s="3" t="n">
        <v>0</v>
      </c>
    </row>
    <row r="61">
      <c r="A61" s="2" t="inlineStr">
        <is>
          <t>Tools Tab</t>
        </is>
      </c>
      <c r="B61" s="2" t="inlineStr">
        <is>
          <t>Average Lot Size</t>
        </is>
      </c>
      <c r="C61" s="2" t="inlineStr">
        <is>
          <t>Select multiple properties and calculate count, total area and average lot size.</t>
        </is>
      </c>
      <c r="D61" s="3">
        <f>SUM(E61:L61)</f>
        <v/>
      </c>
      <c r="E61" s="3" t="n">
        <v>24</v>
      </c>
      <c r="F61" s="3" t="n">
        <v>32</v>
      </c>
      <c r="G61" s="3" t="n">
        <v>0</v>
      </c>
      <c r="H61" s="3" t="n">
        <v>0</v>
      </c>
      <c r="I61" s="3" t="n">
        <v>8</v>
      </c>
      <c r="J61" s="3" t="n">
        <v>0</v>
      </c>
      <c r="K61" s="3" t="n">
        <v>0</v>
      </c>
      <c r="L61" s="3" t="n">
        <v>0</v>
      </c>
    </row>
    <row r="62">
      <c r="A62" s="2" t="inlineStr">
        <is>
          <t>Tools Tab</t>
        </is>
      </c>
      <c r="B62" s="2" t="inlineStr">
        <is>
          <t>AMG Coordinate Tool</t>
        </is>
      </c>
      <c r="C62" s="2" t="inlineStr">
        <is>
          <t>Accept heritage AMG/MGA northing and easting values and navigate to the transformed location.</t>
        </is>
      </c>
      <c r="D62" s="3">
        <f>SUM(E62:L62)</f>
        <v/>
      </c>
      <c r="E62" s="3" t="n">
        <v>16</v>
      </c>
      <c r="F62" s="3" t="n">
        <v>8</v>
      </c>
      <c r="G62" s="3" t="n">
        <v>0</v>
      </c>
      <c r="H62" s="3" t="n">
        <v>0</v>
      </c>
      <c r="I62" s="3" t="n">
        <v>8</v>
      </c>
      <c r="J62" s="3" t="n">
        <v>0</v>
      </c>
      <c r="K62" s="3" t="n">
        <v>0</v>
      </c>
      <c r="L62" s="3" t="n">
        <v>0</v>
      </c>
    </row>
    <row r="63">
      <c r="A63" s="2" t="inlineStr">
        <is>
          <t>Tools Tab</t>
        </is>
      </c>
      <c r="B63" s="2" t="inlineStr">
        <is>
          <t>Heritage Overlay Search launcher</t>
        </is>
      </c>
      <c r="C63" s="2" t="inlineStr">
        <is>
          <t>Tools-tab entry point into the shared Heritage Overlay Search.</t>
        </is>
      </c>
      <c r="D63" s="3">
        <f>SUM(E63:L63)</f>
        <v/>
      </c>
      <c r="E63" s="3" t="n">
        <v>4</v>
      </c>
      <c r="F63" s="3" t="n">
        <v>0</v>
      </c>
      <c r="G63" s="3" t="n">
        <v>0</v>
      </c>
      <c r="H63" s="3" t="n">
        <v>0</v>
      </c>
      <c r="I63" s="3" t="n">
        <v>4</v>
      </c>
      <c r="J63" s="3" t="n">
        <v>0</v>
      </c>
      <c r="K63" s="3" t="n">
        <v>0</v>
      </c>
      <c r="L63" s="3" t="n">
        <v>0</v>
      </c>
    </row>
    <row r="64">
      <c r="A64" s="6" t="inlineStr">
        <is>
          <t>Application Tools</t>
        </is>
      </c>
      <c r="B64" s="6" t="inlineStr">
        <is>
          <t>Tools Tab subtotal</t>
        </is>
      </c>
      <c r="C64" s="6" t="inlineStr"/>
      <c r="D64" s="7">
        <f>SUM(D52:D63)</f>
        <v/>
      </c>
      <c r="E64" s="7">
        <f>SUM(E52:E63)</f>
        <v/>
      </c>
      <c r="F64" s="7">
        <f>SUM(F52:F63)</f>
        <v/>
      </c>
      <c r="G64" s="7">
        <f>SUM(G52:G63)</f>
        <v/>
      </c>
      <c r="H64" s="7">
        <f>SUM(H52:H63)</f>
        <v/>
      </c>
      <c r="I64" s="7">
        <f>SUM(I52:I63)</f>
        <v/>
      </c>
      <c r="J64" s="7">
        <f>SUM(J52:J63)</f>
        <v/>
      </c>
      <c r="K64" s="7">
        <f>SUM(K52:K63)</f>
        <v/>
      </c>
      <c r="L64" s="7">
        <f>SUM(L52:L63)</f>
        <v/>
      </c>
    </row>
    <row r="65">
      <c r="A65" s="14" t="inlineStr">
        <is>
          <t>Application Tools</t>
        </is>
      </c>
      <c r="B65" s="14" t="inlineStr">
        <is>
          <t>Advanced Tools Tab</t>
        </is>
      </c>
      <c r="C65" s="14" t="inlineStr">
        <is>
          <t>Ribbon / contextual tool group</t>
        </is>
      </c>
      <c r="D65" s="15" t="n"/>
      <c r="E65" s="15" t="n"/>
      <c r="F65" s="15" t="n"/>
      <c r="G65" s="15" t="n"/>
      <c r="H65" s="15" t="n"/>
      <c r="I65" s="15" t="n"/>
      <c r="J65" s="15" t="n"/>
      <c r="K65" s="15" t="n"/>
      <c r="L65" s="15" t="n"/>
    </row>
    <row r="66">
      <c r="A66" s="2" t="inlineStr">
        <is>
          <t>Advanced Tools Tab</t>
        </is>
      </c>
      <c r="B66" s="2" t="inlineStr">
        <is>
          <t>Redevelopment Summary</t>
        </is>
      </c>
      <c r="C66" s="2" t="inlineStr">
        <is>
          <t>Select LGA, postcode or locality and produce redevelopment counts, dwellings, tables and charts.</t>
        </is>
      </c>
      <c r="D66" s="3">
        <f>SUM(E66:L66)</f>
        <v/>
      </c>
      <c r="E66" s="3" t="n">
        <v>24</v>
      </c>
      <c r="F66" s="3" t="n">
        <v>40</v>
      </c>
      <c r="G66" s="3" t="n">
        <v>8</v>
      </c>
      <c r="H66" s="3" t="n">
        <v>0</v>
      </c>
      <c r="I66" s="3" t="n">
        <v>8</v>
      </c>
      <c r="J66" s="3" t="n">
        <v>0</v>
      </c>
      <c r="K66" s="3" t="n">
        <v>0</v>
      </c>
      <c r="L66" s="3" t="n">
        <v>0</v>
      </c>
    </row>
    <row r="67">
      <c r="A67" s="2" t="inlineStr">
        <is>
          <t>Advanced Tools Tab</t>
        </is>
      </c>
      <c r="B67" s="2" t="inlineStr">
        <is>
          <t>Broadhectare Summary</t>
        </is>
      </c>
      <c r="C67" s="2" t="inlineStr">
        <is>
          <t>Summarise broadhectare lots and development timing by selected geography.</t>
        </is>
      </c>
      <c r="D67" s="3">
        <f>SUM(E67:L67)</f>
        <v/>
      </c>
      <c r="E67" s="3" t="n">
        <v>24</v>
      </c>
      <c r="F67" s="3" t="n">
        <v>40</v>
      </c>
      <c r="G67" s="3" t="n">
        <v>8</v>
      </c>
      <c r="H67" s="3" t="n">
        <v>0</v>
      </c>
      <c r="I67" s="3" t="n">
        <v>8</v>
      </c>
      <c r="J67" s="3" t="n">
        <v>0</v>
      </c>
      <c r="K67" s="3" t="n">
        <v>0</v>
      </c>
      <c r="L67" s="3" t="n">
        <v>0</v>
      </c>
    </row>
    <row r="68">
      <c r="A68" s="2" t="inlineStr">
        <is>
          <t>Advanced Tools Tab</t>
        </is>
      </c>
      <c r="B68" s="2" t="inlineStr">
        <is>
          <t>HDD Summary</t>
        </is>
      </c>
      <c r="C68" s="2" t="inlineStr">
        <is>
          <t>Summarise housing-development stock, dwellings and average lot size by property or planning zone.</t>
        </is>
      </c>
      <c r="D68" s="3">
        <f>SUM(E68:L68)</f>
        <v/>
      </c>
      <c r="E68" s="3" t="n">
        <v>24</v>
      </c>
      <c r="F68" s="3" t="n">
        <v>40</v>
      </c>
      <c r="G68" s="3" t="n">
        <v>8</v>
      </c>
      <c r="H68" s="3" t="n">
        <v>0</v>
      </c>
      <c r="I68" s="3" t="n">
        <v>8</v>
      </c>
      <c r="J68" s="3" t="n">
        <v>0</v>
      </c>
      <c r="K68" s="3" t="n">
        <v>0</v>
      </c>
      <c r="L68" s="3" t="n">
        <v>0</v>
      </c>
    </row>
    <row r="69">
      <c r="A69" s="2" t="inlineStr">
        <is>
          <t>Advanced Tools Tab</t>
        </is>
      </c>
      <c r="B69" s="2" t="inlineStr">
        <is>
          <t>Heritage Bushfire Select</t>
        </is>
      </c>
      <c r="C69" s="2" t="inlineStr">
        <is>
          <t>Intersect heritage sites with live bushfire-affected areas and present actionable results.</t>
        </is>
      </c>
      <c r="D69" s="3">
        <f>SUM(E69:L69)</f>
        <v/>
      </c>
      <c r="E69" s="3" t="n">
        <v>24</v>
      </c>
      <c r="F69" s="3" t="n">
        <v>56</v>
      </c>
      <c r="G69" s="3" t="n">
        <v>0</v>
      </c>
      <c r="H69" s="3" t="n">
        <v>0</v>
      </c>
      <c r="I69" s="3" t="n">
        <v>16</v>
      </c>
      <c r="J69" s="3" t="n">
        <v>0</v>
      </c>
      <c r="K69" s="3" t="n">
        <v>0</v>
      </c>
      <c r="L69" s="3" t="n">
        <v>0</v>
      </c>
    </row>
    <row r="70">
      <c r="A70" s="2" t="inlineStr">
        <is>
          <t>Advanced Tools Tab</t>
        </is>
      </c>
      <c r="B70" s="2" t="inlineStr">
        <is>
          <t>Zone Filter launcher</t>
        </is>
      </c>
      <c r="C70" s="2" t="inlineStr">
        <is>
          <t>Advanced-tab entry point into the shared zone filter.</t>
        </is>
      </c>
      <c r="D70" s="3">
        <f>SUM(E70:L70)</f>
        <v/>
      </c>
      <c r="E70" s="3" t="n">
        <v>4</v>
      </c>
      <c r="F70" s="3" t="n">
        <v>0</v>
      </c>
      <c r="G70" s="3" t="n">
        <v>0</v>
      </c>
      <c r="H70" s="3" t="n">
        <v>0</v>
      </c>
      <c r="I70" s="3" t="n">
        <v>4</v>
      </c>
      <c r="J70" s="3" t="n">
        <v>0</v>
      </c>
      <c r="K70" s="3" t="n">
        <v>0</v>
      </c>
      <c r="L70" s="3" t="n">
        <v>0</v>
      </c>
    </row>
    <row r="71">
      <c r="A71" s="2" t="inlineStr">
        <is>
          <t>Advanced Tools Tab</t>
        </is>
      </c>
      <c r="B71" s="2" t="inlineStr">
        <is>
          <t>Overlay Filter launcher</t>
        </is>
      </c>
      <c r="C71" s="2" t="inlineStr">
        <is>
          <t>Advanced-tab entry point into the shared overlay filter.</t>
        </is>
      </c>
      <c r="D71" s="3">
        <f>SUM(E71:L71)</f>
        <v/>
      </c>
      <c r="E71" s="3" t="n">
        <v>4</v>
      </c>
      <c r="F71" s="3" t="n">
        <v>0</v>
      </c>
      <c r="G71" s="3" t="n">
        <v>0</v>
      </c>
      <c r="H71" s="3" t="n">
        <v>0</v>
      </c>
      <c r="I71" s="3" t="n">
        <v>4</v>
      </c>
      <c r="J71" s="3" t="n">
        <v>0</v>
      </c>
      <c r="K71" s="3" t="n">
        <v>0</v>
      </c>
      <c r="L71" s="3" t="n">
        <v>0</v>
      </c>
    </row>
    <row r="72">
      <c r="A72" s="2" t="inlineStr">
        <is>
          <t>Advanced Tools Tab</t>
        </is>
      </c>
      <c r="B72" s="2" t="inlineStr">
        <is>
          <t>Clear Filter launcher</t>
        </is>
      </c>
      <c r="C72" s="2" t="inlineStr">
        <is>
          <t>Advanced-tab entry point into shared filter clearing.</t>
        </is>
      </c>
      <c r="D72" s="3">
        <f>SUM(E72:L72)</f>
        <v/>
      </c>
      <c r="E72" s="3" t="n">
        <v>4</v>
      </c>
      <c r="F72" s="3" t="n">
        <v>0</v>
      </c>
      <c r="G72" s="3" t="n">
        <v>0</v>
      </c>
      <c r="H72" s="3" t="n">
        <v>0</v>
      </c>
      <c r="I72" s="3" t="n">
        <v>4</v>
      </c>
      <c r="J72" s="3" t="n">
        <v>0</v>
      </c>
      <c r="K72" s="3" t="n">
        <v>0</v>
      </c>
      <c r="L72" s="3" t="n">
        <v>0</v>
      </c>
    </row>
    <row r="73">
      <c r="A73" s="2" t="inlineStr">
        <is>
          <t>Advanced Tools Tab</t>
        </is>
      </c>
      <c r="B73" s="2" t="inlineStr">
        <is>
          <t>Zone Intersect launcher</t>
        </is>
      </c>
      <c r="C73" s="2" t="inlineStr">
        <is>
          <t>Advanced-tab entry point into the shared zone intersection workflow.</t>
        </is>
      </c>
      <c r="D73" s="3">
        <f>SUM(E73:L73)</f>
        <v/>
      </c>
      <c r="E73" s="3" t="n">
        <v>4</v>
      </c>
      <c r="F73" s="3" t="n">
        <v>0</v>
      </c>
      <c r="G73" s="3" t="n">
        <v>0</v>
      </c>
      <c r="H73" s="3" t="n">
        <v>0</v>
      </c>
      <c r="I73" s="3" t="n">
        <v>4</v>
      </c>
      <c r="J73" s="3" t="n">
        <v>0</v>
      </c>
      <c r="K73" s="3" t="n">
        <v>0</v>
      </c>
      <c r="L73" s="3" t="n">
        <v>0</v>
      </c>
    </row>
    <row r="74">
      <c r="A74" s="2" t="inlineStr">
        <is>
          <t>Advanced Tools Tab</t>
        </is>
      </c>
      <c r="B74" s="2" t="inlineStr">
        <is>
          <t>Overlay Intersect launcher</t>
        </is>
      </c>
      <c r="C74" s="2" t="inlineStr">
        <is>
          <t>Advanced-tab entry point into the shared overlay intersection workflow.</t>
        </is>
      </c>
      <c r="D74" s="3">
        <f>SUM(E74:L74)</f>
        <v/>
      </c>
      <c r="E74" s="3" t="n">
        <v>4</v>
      </c>
      <c r="F74" s="3" t="n">
        <v>0</v>
      </c>
      <c r="G74" s="3" t="n">
        <v>0</v>
      </c>
      <c r="H74" s="3" t="n">
        <v>0</v>
      </c>
      <c r="I74" s="3" t="n">
        <v>4</v>
      </c>
      <c r="J74" s="3" t="n">
        <v>0</v>
      </c>
      <c r="K74" s="3" t="n">
        <v>0</v>
      </c>
      <c r="L74" s="3" t="n">
        <v>0</v>
      </c>
    </row>
    <row r="75">
      <c r="A75" s="2" t="inlineStr">
        <is>
          <t>Advanced Tools Tab</t>
        </is>
      </c>
      <c r="B75" s="2" t="inlineStr">
        <is>
          <t>Imagery Search</t>
        </is>
      </c>
      <c r="C75" s="2" t="inlineStr">
        <is>
          <t>Search imagery by map location, extent, name and date; preview and add selected datasets.</t>
        </is>
      </c>
      <c r="D75" s="3">
        <f>SUM(E75:L75)</f>
        <v/>
      </c>
      <c r="E75" s="3" t="n">
        <v>48</v>
      </c>
      <c r="F75" s="3" t="n">
        <v>72</v>
      </c>
      <c r="G75" s="3" t="n">
        <v>8</v>
      </c>
      <c r="H75" s="3" t="n">
        <v>0</v>
      </c>
      <c r="I75" s="3" t="n">
        <v>16</v>
      </c>
      <c r="J75" s="3" t="n">
        <v>0</v>
      </c>
      <c r="K75" s="3" t="n">
        <v>0</v>
      </c>
      <c r="L75" s="3" t="n">
        <v>0</v>
      </c>
    </row>
    <row r="76">
      <c r="A76" s="2" t="inlineStr">
        <is>
          <t>Advanced Tools Tab</t>
        </is>
      </c>
      <c r="B76" s="2" t="inlineStr">
        <is>
          <t>Clear Imagery</t>
        </is>
      </c>
      <c r="C76" s="2" t="inlineStr">
        <is>
          <t>Remove imagery added by the imagery-search workflow.</t>
        </is>
      </c>
      <c r="D76" s="3">
        <f>SUM(E76:L76)</f>
        <v/>
      </c>
      <c r="E76" s="3" t="n">
        <v>8</v>
      </c>
      <c r="F76" s="3" t="n">
        <v>4</v>
      </c>
      <c r="G76" s="3" t="n">
        <v>0</v>
      </c>
      <c r="H76" s="3" t="n">
        <v>0</v>
      </c>
      <c r="I76" s="3" t="n">
        <v>4</v>
      </c>
      <c r="J76" s="3" t="n">
        <v>0</v>
      </c>
      <c r="K76" s="3" t="n">
        <v>0</v>
      </c>
      <c r="L76" s="3" t="n">
        <v>0</v>
      </c>
    </row>
    <row r="77">
      <c r="A77" s="6" t="inlineStr">
        <is>
          <t>Application Tools</t>
        </is>
      </c>
      <c r="B77" s="6" t="inlineStr">
        <is>
          <t>Advanced Tools Tab subtotal</t>
        </is>
      </c>
      <c r="C77" s="6" t="inlineStr"/>
      <c r="D77" s="7">
        <f>SUM(D66:D76)</f>
        <v/>
      </c>
      <c r="E77" s="7">
        <f>SUM(E66:E76)</f>
        <v/>
      </c>
      <c r="F77" s="7">
        <f>SUM(F66:F76)</f>
        <v/>
      </c>
      <c r="G77" s="7">
        <f>SUM(G66:G76)</f>
        <v/>
      </c>
      <c r="H77" s="7">
        <f>SUM(H66:H76)</f>
        <v/>
      </c>
      <c r="I77" s="7">
        <f>SUM(I66:I76)</f>
        <v/>
      </c>
      <c r="J77" s="7">
        <f>SUM(J66:J76)</f>
        <v/>
      </c>
      <c r="K77" s="7">
        <f>SUM(K66:K76)</f>
        <v/>
      </c>
      <c r="L77" s="7">
        <f>SUM(L66:L76)</f>
        <v/>
      </c>
    </row>
    <row r="78">
      <c r="A78" s="16" t="inlineStr">
        <is>
          <t>Application Tools</t>
        </is>
      </c>
      <c r="B78" s="16" t="inlineStr">
        <is>
          <t>Outside Toolbar</t>
        </is>
      </c>
      <c r="C78" s="16" t="inlineStr">
        <is>
          <t>Ribbon / contextual tool group</t>
        </is>
      </c>
      <c r="D78" s="17" t="n"/>
      <c r="E78" s="17" t="n"/>
      <c r="F78" s="17" t="n"/>
      <c r="G78" s="17" t="n"/>
      <c r="H78" s="17" t="n"/>
      <c r="I78" s="17" t="n"/>
      <c r="J78" s="17" t="n"/>
      <c r="K78" s="17" t="n"/>
      <c r="L78" s="17" t="n"/>
    </row>
    <row r="79">
      <c r="A79" s="2" t="inlineStr">
        <is>
          <t>Outside Toolbar</t>
        </is>
      </c>
      <c r="B79" s="2" t="inlineStr">
        <is>
          <t>Area Measure action</t>
        </is>
      </c>
      <c r="C79" s="2" t="inlineStr">
        <is>
          <t>Make authoritative area and perimeter measurement visible in selected-feature actions.</t>
        </is>
      </c>
      <c r="D79" s="3">
        <f>SUM(E79:L79)</f>
        <v/>
      </c>
      <c r="E79" s="3" t="n">
        <v>4</v>
      </c>
      <c r="F79" s="3" t="n">
        <v>0</v>
      </c>
      <c r="G79" s="3" t="n">
        <v>0</v>
      </c>
      <c r="H79" s="3" t="n">
        <v>0</v>
      </c>
      <c r="I79" s="3" t="n">
        <v>4</v>
      </c>
      <c r="J79" s="3" t="n">
        <v>0</v>
      </c>
      <c r="K79" s="3" t="n">
        <v>0</v>
      </c>
      <c r="L79" s="3" t="n">
        <v>0</v>
      </c>
    </row>
    <row r="80">
      <c r="A80" s="2" t="inlineStr">
        <is>
          <t>Outside Toolbar</t>
        </is>
      </c>
      <c r="B80" s="2" t="inlineStr">
        <is>
          <t>Buffering</t>
        </is>
      </c>
      <c r="C80" s="2" t="inlineStr">
        <is>
          <t>Buffer selected features or drawings by a user-entered distance and retain the generated geometry.</t>
        </is>
      </c>
      <c r="D80" s="3">
        <f>SUM(E80:L80)</f>
        <v/>
      </c>
      <c r="E80" s="3" t="n">
        <v>24</v>
      </c>
      <c r="F80" s="3" t="n">
        <v>24</v>
      </c>
      <c r="G80" s="3" t="n">
        <v>0</v>
      </c>
      <c r="H80" s="3" t="n">
        <v>0</v>
      </c>
      <c r="I80" s="3" t="n">
        <v>8</v>
      </c>
      <c r="J80" s="3" t="n">
        <v>0</v>
      </c>
      <c r="K80" s="3" t="n">
        <v>0</v>
      </c>
      <c r="L80" s="3" t="n">
        <v>0</v>
      </c>
    </row>
    <row r="81">
      <c r="A81" s="2" t="inlineStr">
        <is>
          <t>Outside Toolbar</t>
        </is>
      </c>
      <c r="B81" s="2" t="inlineStr">
        <is>
          <t>Export selected data</t>
        </is>
      </c>
      <c r="C81" s="2" t="inlineStr">
        <is>
          <t>Export selected records or geometry to CSV, XLSX, GeoJSON, KML or zipped Shapefile.</t>
        </is>
      </c>
      <c r="D81" s="3">
        <f>SUM(E81:L81)</f>
        <v/>
      </c>
      <c r="E81" s="3" t="n">
        <v>32</v>
      </c>
      <c r="F81" s="3" t="n">
        <v>56</v>
      </c>
      <c r="G81" s="3" t="n">
        <v>8</v>
      </c>
      <c r="H81" s="3" t="n">
        <v>0</v>
      </c>
      <c r="I81" s="3" t="n">
        <v>16</v>
      </c>
      <c r="J81" s="3" t="n">
        <v>0</v>
      </c>
      <c r="K81" s="3" t="n">
        <v>0</v>
      </c>
      <c r="L81" s="3" t="n">
        <v>0</v>
      </c>
    </row>
    <row r="82">
      <c r="A82" s="2" t="inlineStr">
        <is>
          <t>Outside Toolbar</t>
        </is>
      </c>
      <c r="B82" s="2" t="inlineStr">
        <is>
          <t>Table View</t>
        </is>
      </c>
      <c r="C82" s="2" t="inlineStr">
        <is>
          <t>Spreadsheet-style results with paging, sorting, filtering, selection and map synchronisation.</t>
        </is>
      </c>
      <c r="D82" s="3">
        <f>SUM(E82:L82)</f>
        <v/>
      </c>
      <c r="E82" s="3" t="n">
        <v>64</v>
      </c>
      <c r="F82" s="3" t="n">
        <v>24</v>
      </c>
      <c r="G82" s="3" t="n">
        <v>8</v>
      </c>
      <c r="H82" s="3" t="n">
        <v>0</v>
      </c>
      <c r="I82" s="3" t="n">
        <v>16</v>
      </c>
      <c r="J82" s="3" t="n">
        <v>0</v>
      </c>
      <c r="K82" s="3" t="n">
        <v>0</v>
      </c>
      <c r="L82" s="3" t="n">
        <v>0</v>
      </c>
    </row>
    <row r="83">
      <c r="A83" s="2" t="inlineStr">
        <is>
          <t>Outside Toolbar</t>
        </is>
      </c>
      <c r="B83" s="2" t="inlineStr">
        <is>
          <t>Overview Map</t>
        </is>
      </c>
      <c r="C83" s="2" t="inlineStr">
        <is>
          <t>State-wide overview map with movable current-extent frame.</t>
        </is>
      </c>
      <c r="D83" s="3">
        <f>SUM(E83:L83)</f>
        <v/>
      </c>
      <c r="E83" s="3" t="n">
        <v>24</v>
      </c>
      <c r="F83" s="3" t="n">
        <v>0</v>
      </c>
      <c r="G83" s="3" t="n">
        <v>8</v>
      </c>
      <c r="H83" s="3" t="n">
        <v>0</v>
      </c>
      <c r="I83" s="3" t="n">
        <v>8</v>
      </c>
      <c r="J83" s="3" t="n">
        <v>0</v>
      </c>
      <c r="K83" s="3" t="n">
        <v>0</v>
      </c>
      <c r="L83" s="3" t="n">
        <v>0</v>
      </c>
    </row>
    <row r="84">
      <c r="A84" s="2" t="inlineStr">
        <is>
          <t>Outside Toolbar</t>
        </is>
      </c>
      <c r="B84" s="2" t="inlineStr">
        <is>
          <t>Layer Themes</t>
        </is>
      </c>
      <c r="C84" s="2" t="inlineStr">
        <is>
          <t>Apply predefined layer groups and visibility combinations.</t>
        </is>
      </c>
      <c r="D84" s="3">
        <f>SUM(E84:L84)</f>
        <v/>
      </c>
      <c r="E84" s="3" t="n">
        <v>32</v>
      </c>
      <c r="F84" s="3" t="n">
        <v>8</v>
      </c>
      <c r="G84" s="3" t="n">
        <v>8</v>
      </c>
      <c r="H84" s="3" t="n">
        <v>0</v>
      </c>
      <c r="I84" s="3" t="n">
        <v>8</v>
      </c>
      <c r="J84" s="3" t="n">
        <v>0</v>
      </c>
      <c r="K84" s="3" t="n">
        <v>0</v>
      </c>
      <c r="L84" s="3" t="n">
        <v>0</v>
      </c>
    </row>
    <row r="85">
      <c r="A85" s="2" t="inlineStr">
        <is>
          <t>Outside Toolbar</t>
        </is>
      </c>
      <c r="B85" s="2" t="inlineStr">
        <is>
          <t>Layer search/filter</t>
        </is>
      </c>
      <c r="C85" s="2" t="inlineStr">
        <is>
          <t>Search the active layer hierarchy, including folders and nested layers.</t>
        </is>
      </c>
      <c r="D85" s="3">
        <f>SUM(E85:L85)</f>
        <v/>
      </c>
      <c r="E85" s="3" t="n">
        <v>24</v>
      </c>
      <c r="F85" s="3" t="n">
        <v>8</v>
      </c>
      <c r="G85" s="3" t="n">
        <v>0</v>
      </c>
      <c r="H85" s="3" t="n">
        <v>0</v>
      </c>
      <c r="I85" s="3" t="n">
        <v>8</v>
      </c>
      <c r="J85" s="3" t="n">
        <v>0</v>
      </c>
      <c r="K85" s="3" t="n">
        <v>0</v>
      </c>
      <c r="L85" s="3" t="n">
        <v>0</v>
      </c>
    </row>
    <row r="86">
      <c r="A86" s="2" t="inlineStr">
        <is>
          <t>Outside Toolbar</t>
        </is>
      </c>
      <c r="B86" s="2" t="inlineStr">
        <is>
          <t>View Layer Metadata</t>
        </is>
      </c>
      <c r="C86" s="2" t="inlineStr">
        <is>
          <t>Show catalogue description, custodian, currency, licence, lineage and links.</t>
        </is>
      </c>
      <c r="D86" s="3">
        <f>SUM(E86:L86)</f>
        <v/>
      </c>
      <c r="E86" s="3" t="n">
        <v>16</v>
      </c>
      <c r="F86" s="3" t="n">
        <v>8</v>
      </c>
      <c r="G86" s="3" t="n">
        <v>0</v>
      </c>
      <c r="H86" s="3" t="n">
        <v>0</v>
      </c>
      <c r="I86" s="3" t="n">
        <v>8</v>
      </c>
      <c r="J86" s="3" t="n">
        <v>0</v>
      </c>
      <c r="K86" s="3" t="n">
        <v>0</v>
      </c>
      <c r="L86" s="3" t="n">
        <v>0</v>
      </c>
    </row>
    <row r="87">
      <c r="A87" s="2" t="inlineStr">
        <is>
          <t>Outside Toolbar</t>
        </is>
      </c>
      <c r="B87" s="2" t="inlineStr">
        <is>
          <t>Zoom to Full Extent</t>
        </is>
      </c>
      <c r="C87" s="2" t="inlineStr">
        <is>
          <t>Navigate to a layer's complete configured extent.</t>
        </is>
      </c>
      <c r="D87" s="3">
        <f>SUM(E87:L87)</f>
        <v/>
      </c>
      <c r="E87" s="3" t="n">
        <v>4</v>
      </c>
      <c r="F87" s="3" t="n">
        <v>0</v>
      </c>
      <c r="G87" s="3" t="n">
        <v>0</v>
      </c>
      <c r="H87" s="3" t="n">
        <v>0</v>
      </c>
      <c r="I87" s="3" t="n">
        <v>4</v>
      </c>
      <c r="J87" s="3" t="n">
        <v>0</v>
      </c>
      <c r="K87" s="3" t="n">
        <v>0</v>
      </c>
      <c r="L87" s="3" t="n">
        <v>0</v>
      </c>
    </row>
    <row r="88">
      <c r="A88" s="2" t="inlineStr">
        <is>
          <t>Outside Toolbar</t>
        </is>
      </c>
      <c r="B88" s="2" t="inlineStr">
        <is>
          <t>Zoom to Visible Extent</t>
        </is>
      </c>
      <c r="C88" s="2" t="inlineStr">
        <is>
          <t>Calculate and navigate to the extent of features currently visible after filtering.</t>
        </is>
      </c>
      <c r="D88" s="3">
        <f>SUM(E88:L88)</f>
        <v/>
      </c>
      <c r="E88" s="3" t="n">
        <v>8</v>
      </c>
      <c r="F88" s="3" t="n">
        <v>0</v>
      </c>
      <c r="G88" s="3" t="n">
        <v>0</v>
      </c>
      <c r="H88" s="3" t="n">
        <v>0</v>
      </c>
      <c r="I88" s="3" t="n">
        <v>8</v>
      </c>
      <c r="J88" s="3" t="n">
        <v>0</v>
      </c>
      <c r="K88" s="3" t="n">
        <v>0</v>
      </c>
      <c r="L88" s="3" t="n">
        <v>0</v>
      </c>
    </row>
    <row r="89">
      <c r="A89" s="2" t="inlineStr">
        <is>
          <t>Outside Toolbar</t>
        </is>
      </c>
      <c r="B89" s="2" t="inlineStr">
        <is>
          <t>Custom Layer Styles</t>
        </is>
      </c>
      <c r="C89" s="2" t="inlineStr">
        <is>
          <t>User-defined colours, fills, outlines, sizes, opacity and classification.</t>
        </is>
      </c>
      <c r="D89" s="3">
        <f>SUM(E89:L89)</f>
        <v/>
      </c>
      <c r="E89" s="3" t="n">
        <v>48</v>
      </c>
      <c r="F89" s="3" t="n">
        <v>24</v>
      </c>
      <c r="G89" s="3" t="n">
        <v>16</v>
      </c>
      <c r="H89" s="3" t="n">
        <v>0</v>
      </c>
      <c r="I89" s="3" t="n">
        <v>8</v>
      </c>
      <c r="J89" s="3" t="n">
        <v>0</v>
      </c>
      <c r="K89" s="3" t="n">
        <v>0</v>
      </c>
      <c r="L89" s="3" t="n">
        <v>0</v>
      </c>
    </row>
    <row r="90">
      <c r="A90" s="2" t="inlineStr">
        <is>
          <t>Outside Toolbar</t>
        </is>
      </c>
      <c r="B90" s="2" t="inlineStr">
        <is>
          <t>Custom Labels</t>
        </is>
      </c>
      <c r="C90" s="2" t="inlineStr">
        <is>
          <t>Attribute-driven labels, scale restrictions, placement and basic styling.</t>
        </is>
      </c>
      <c r="D90" s="3">
        <f>SUM(E90:L90)</f>
        <v/>
      </c>
      <c r="E90" s="3" t="n">
        <v>48</v>
      </c>
      <c r="F90" s="3" t="n">
        <v>24</v>
      </c>
      <c r="G90" s="3" t="n">
        <v>16</v>
      </c>
      <c r="H90" s="3" t="n">
        <v>0</v>
      </c>
      <c r="I90" s="3" t="n">
        <v>8</v>
      </c>
      <c r="J90" s="3" t="n">
        <v>0</v>
      </c>
      <c r="K90" s="3" t="n">
        <v>0</v>
      </c>
      <c r="L90" s="3" t="n">
        <v>0</v>
      </c>
    </row>
    <row r="91">
      <c r="A91" s="6" t="inlineStr">
        <is>
          <t>Application Tools</t>
        </is>
      </c>
      <c r="B91" s="6" t="inlineStr">
        <is>
          <t>Outside Toolbar subtotal</t>
        </is>
      </c>
      <c r="C91" s="6" t="inlineStr"/>
      <c r="D91" s="7">
        <f>SUM(D79:D90)</f>
        <v/>
      </c>
      <c r="E91" s="7">
        <f>SUM(E79:E90)</f>
        <v/>
      </c>
      <c r="F91" s="7">
        <f>SUM(F79:F90)</f>
        <v/>
      </c>
      <c r="G91" s="7">
        <f>SUM(G79:G90)</f>
        <v/>
      </c>
      <c r="H91" s="7">
        <f>SUM(H79:H90)</f>
        <v/>
      </c>
      <c r="I91" s="7">
        <f>SUM(I79:I90)</f>
        <v/>
      </c>
      <c r="J91" s="7">
        <f>SUM(J79:J90)</f>
        <v/>
      </c>
      <c r="K91" s="7">
        <f>SUM(K79:K90)</f>
        <v/>
      </c>
      <c r="L91" s="7">
        <f>SUM(L79:L90)</f>
        <v/>
      </c>
    </row>
    <row r="92">
      <c r="A92" s="2" t="inlineStr">
        <is>
          <t>Data &amp; Platform</t>
        </is>
      </c>
      <c r="B92" s="2" t="inlineStr">
        <is>
          <t>Data processing and publishing pipelines</t>
        </is>
      </c>
      <c r="C92" s="2" t="inlineStr">
        <is>
          <t>Automated validation, transformation, loading, indexing, cache generation and controlled publication to environments.</t>
        </is>
      </c>
      <c r="D92" s="3">
        <f>SUM(E92:L92)</f>
        <v/>
      </c>
      <c r="E92" s="3" t="n">
        <v>0</v>
      </c>
      <c r="F92" s="3" t="n">
        <v>120</v>
      </c>
      <c r="G92" s="3" t="n">
        <v>0</v>
      </c>
      <c r="H92" s="3" t="n">
        <v>0</v>
      </c>
      <c r="I92" s="3" t="n">
        <v>0</v>
      </c>
      <c r="J92" s="3" t="n">
        <v>8</v>
      </c>
      <c r="K92" s="3" t="n">
        <v>0</v>
      </c>
      <c r="L92" s="3" t="n">
        <v>0</v>
      </c>
    </row>
    <row r="93">
      <c r="A93" s="2" t="inlineStr">
        <is>
          <t>Data &amp; Platform</t>
        </is>
      </c>
      <c r="B93" s="2" t="inlineStr">
        <is>
          <t>ArcGIS Pro configuration tool</t>
        </is>
      </c>
      <c r="C93" s="2" t="inlineStr">
        <is>
          <t>Authoring/configuration integration and any required .NET add-in or migration tooling.</t>
        </is>
      </c>
      <c r="D93" s="3">
        <f>SUM(E93:L93)</f>
        <v/>
      </c>
      <c r="E93" s="3" t="n">
        <v>0</v>
      </c>
      <c r="F93" s="3" t="n">
        <v>80</v>
      </c>
      <c r="G93" s="3" t="n">
        <v>40</v>
      </c>
      <c r="H93" s="3" t="n">
        <v>120</v>
      </c>
      <c r="I93" s="3" t="n">
        <v>0</v>
      </c>
      <c r="J93" s="3" t="n">
        <v>0</v>
      </c>
      <c r="K93" s="3" t="n">
        <v>0</v>
      </c>
      <c r="L93" s="3" t="n">
        <v>0</v>
      </c>
    </row>
    <row r="94">
      <c r="A94" s="2" t="inlineStr">
        <is>
          <t>Data &amp; Platform</t>
        </is>
      </c>
      <c r="B94" s="2" t="inlineStr">
        <is>
          <t>Security and user-management integration</t>
        </is>
      </c>
      <c r="C94" s="2" t="inlineStr">
        <is>
          <t>Identity provider integration, API authorisation, roles, groups and protected layer/data enforcement.</t>
        </is>
      </c>
      <c r="D94" s="3">
        <f>SUM(E94:L94)</f>
        <v/>
      </c>
      <c r="E94" s="3" t="n">
        <v>24</v>
      </c>
      <c r="F94" s="3" t="n">
        <v>60</v>
      </c>
      <c r="G94" s="3" t="n">
        <v>0</v>
      </c>
      <c r="H94" s="3" t="n">
        <v>0</v>
      </c>
      <c r="I94" s="3" t="n">
        <v>0</v>
      </c>
      <c r="J94" s="3" t="n">
        <v>0</v>
      </c>
      <c r="K94" s="3" t="n">
        <v>0</v>
      </c>
      <c r="L94" s="3" t="n">
        <v>0</v>
      </c>
    </row>
    <row r="95">
      <c r="A95" s="2" t="inlineStr">
        <is>
          <t>Data &amp; Platform</t>
        </is>
      </c>
      <c r="B95" s="2" t="inlineStr">
        <is>
          <t>Configuration and administration</t>
        </is>
      </c>
      <c r="C95" s="2" t="inlineStr">
        <is>
          <t>Administrative configuration for layers, tools, themes, access, application content and environment settings.</t>
        </is>
      </c>
      <c r="D95" s="3">
        <f>SUM(E95:L95)</f>
        <v/>
      </c>
      <c r="E95" s="3" t="n">
        <v>40</v>
      </c>
      <c r="F95" s="3" t="n">
        <v>40</v>
      </c>
      <c r="G95" s="3" t="n">
        <v>0</v>
      </c>
      <c r="H95" s="3" t="n">
        <v>0</v>
      </c>
      <c r="I95" s="3" t="n">
        <v>0</v>
      </c>
      <c r="J95" s="3" t="n">
        <v>8</v>
      </c>
      <c r="K95" s="3" t="n">
        <v>0</v>
      </c>
      <c r="L95" s="3" t="n">
        <v>0</v>
      </c>
    </row>
    <row r="96">
      <c r="A96" s="2" t="inlineStr">
        <is>
          <t>Data &amp; Platform</t>
        </is>
      </c>
      <c r="B96" s="2" t="inlineStr">
        <is>
          <t>Cloud infrastructure and deployment</t>
        </is>
      </c>
      <c r="C96" s="2" t="inlineStr">
        <is>
          <t>Production AWS infrastructure, IaC, networking, observability, backups, CI/CD and environment deployment.</t>
        </is>
      </c>
      <c r="D96" s="3">
        <f>SUM(E96:L96)</f>
        <v/>
      </c>
      <c r="E96" s="3" t="n">
        <v>16</v>
      </c>
      <c r="F96" s="3" t="n">
        <v>104</v>
      </c>
      <c r="G96" s="3" t="n">
        <v>0</v>
      </c>
      <c r="H96" s="3" t="n">
        <v>0</v>
      </c>
      <c r="I96" s="3" t="n">
        <v>0</v>
      </c>
      <c r="J96" s="3" t="n">
        <v>0</v>
      </c>
      <c r="K96" s="3" t="n">
        <v>0</v>
      </c>
      <c r="L96" s="3" t="n">
        <v>0</v>
      </c>
    </row>
    <row r="97">
      <c r="A97" s="2" t="inlineStr">
        <is>
          <t>Assurance</t>
        </is>
      </c>
      <c r="B97" s="2" t="inlineStr">
        <is>
          <t>Production testing and hardening</t>
        </is>
      </c>
      <c r="C97" s="2" t="inlineStr">
        <is>
          <t>Performance, accessibility, security, resilience, compatibility and operational hardening.</t>
        </is>
      </c>
      <c r="D97" s="3">
        <f>SUM(E97:L97)</f>
        <v/>
      </c>
      <c r="E97" s="3" t="n">
        <v>80</v>
      </c>
      <c r="F97" s="3" t="n">
        <v>80</v>
      </c>
      <c r="G97" s="3" t="n">
        <v>0</v>
      </c>
      <c r="H97" s="3" t="n">
        <v>0</v>
      </c>
      <c r="I97" s="3" t="n">
        <v>24</v>
      </c>
      <c r="J97" s="3" t="n">
        <v>0</v>
      </c>
      <c r="K97" s="3" t="n">
        <v>0</v>
      </c>
      <c r="L97" s="3" t="n">
        <v>0</v>
      </c>
    </row>
    <row r="98">
      <c r="A98" s="2" t="inlineStr">
        <is>
          <t>Transition</t>
        </is>
      </c>
      <c r="B98" s="2" t="inlineStr">
        <is>
          <t>UAT: Test Plan, Environment migration</t>
        </is>
      </c>
      <c r="C98" s="2" t="inlineStr">
        <is>
          <t>UAT planning/support, representative data, migration rehearsal, defect triage and business acceptance.</t>
        </is>
      </c>
      <c r="D98" s="3">
        <f>SUM(E98:L98)</f>
        <v/>
      </c>
      <c r="E98" s="3" t="n">
        <v>8</v>
      </c>
      <c r="F98" s="3" t="n">
        <v>8</v>
      </c>
      <c r="G98" s="3" t="n">
        <v>8</v>
      </c>
      <c r="H98" s="3" t="n">
        <v>0</v>
      </c>
      <c r="I98" s="3" t="n">
        <v>32</v>
      </c>
      <c r="J98" s="3" t="n">
        <v>16</v>
      </c>
      <c r="K98" s="3" t="n">
        <v>0</v>
      </c>
      <c r="L98" s="3" t="n">
        <v>8</v>
      </c>
    </row>
    <row r="99">
      <c r="A99" s="2" t="inlineStr">
        <is>
          <t>Assurance</t>
        </is>
      </c>
      <c r="B99" s="2" t="inlineStr">
        <is>
          <t>Testing</t>
        </is>
      </c>
      <c r="C99" s="2" t="inlineStr">
        <is>
          <t>System, integration, regression and end-to-end testing across supported workflows and environments.</t>
        </is>
      </c>
      <c r="D99" s="3">
        <f>SUM(E99:L99)</f>
        <v/>
      </c>
      <c r="E99" s="3" t="n">
        <v>24</v>
      </c>
      <c r="F99" s="3" t="n">
        <v>24</v>
      </c>
      <c r="G99" s="3" t="n">
        <v>0</v>
      </c>
      <c r="H99" s="3" t="n">
        <v>0</v>
      </c>
      <c r="I99" s="3" t="n">
        <v>120</v>
      </c>
      <c r="J99" s="3" t="n">
        <v>0</v>
      </c>
      <c r="K99" s="3" t="n">
        <v>0</v>
      </c>
      <c r="L99" s="3" t="n">
        <v>0</v>
      </c>
    </row>
    <row r="100">
      <c r="A100" s="2" t="inlineStr">
        <is>
          <t>Transition</t>
        </is>
      </c>
      <c r="B100" s="2" t="inlineStr">
        <is>
          <t>Environment Promotion</t>
        </is>
      </c>
      <c r="C100" s="2" t="inlineStr">
        <is>
          <t>Controlled promotion to higher environments with configuration, data and release verification.</t>
        </is>
      </c>
      <c r="D100" s="3">
        <f>SUM(E100:L100)</f>
        <v/>
      </c>
      <c r="E100" s="3" t="n">
        <v>40</v>
      </c>
      <c r="F100" s="3" t="n">
        <v>40</v>
      </c>
      <c r="G100" s="3" t="n">
        <v>0</v>
      </c>
      <c r="H100" s="3" t="n">
        <v>0</v>
      </c>
      <c r="I100" s="3" t="n">
        <v>0</v>
      </c>
      <c r="J100" s="3" t="n">
        <v>0</v>
      </c>
      <c r="K100" s="3" t="n">
        <v>0</v>
      </c>
      <c r="L100" s="3" t="n">
        <v>0</v>
      </c>
    </row>
    <row r="101">
      <c r="A101" s="2" t="inlineStr">
        <is>
          <t>Transition</t>
        </is>
      </c>
      <c r="B101" s="2" t="inlineStr">
        <is>
          <t>Warranty / Hypercare</t>
        </is>
      </c>
      <c r="C101" s="2" t="inlineStr">
        <is>
          <t>Post-production monitoring, triage and remediation during the agreed warranty period.</t>
        </is>
      </c>
      <c r="D101" s="3">
        <f>SUM(E101:L101)</f>
        <v/>
      </c>
      <c r="E101" s="3" t="n">
        <v>40</v>
      </c>
      <c r="F101" s="3" t="n">
        <v>40</v>
      </c>
      <c r="G101" s="3" t="n">
        <v>0</v>
      </c>
      <c r="H101" s="3" t="n">
        <v>0</v>
      </c>
      <c r="I101" s="3" t="n">
        <v>0</v>
      </c>
      <c r="J101" s="3" t="n">
        <v>0</v>
      </c>
      <c r="K101" s="3" t="n">
        <v>0</v>
      </c>
      <c r="L101" s="3" t="n">
        <v>0</v>
      </c>
    </row>
    <row r="102">
      <c r="A102" s="2" t="inlineStr">
        <is>
          <t>Transition</t>
        </is>
      </c>
      <c r="B102" s="2" t="inlineStr">
        <is>
          <t>Knowledge Transfer / Walkthrough</t>
        </is>
      </c>
      <c r="C102" s="2" t="inlineStr">
        <is>
          <t>Technical, administrative and operational walkthroughs with handover materials.</t>
        </is>
      </c>
      <c r="D102" s="3">
        <f>SUM(E102:L102)</f>
        <v/>
      </c>
      <c r="E102" s="3" t="n">
        <v>8</v>
      </c>
      <c r="F102" s="3" t="n">
        <v>16</v>
      </c>
      <c r="G102" s="3" t="n">
        <v>0</v>
      </c>
      <c r="H102" s="3" t="n">
        <v>8</v>
      </c>
      <c r="I102" s="3" t="n">
        <v>0</v>
      </c>
      <c r="J102" s="3" t="n">
        <v>8</v>
      </c>
      <c r="K102" s="3" t="n">
        <v>0</v>
      </c>
      <c r="L102" s="3" t="n">
        <v>0</v>
      </c>
    </row>
    <row r="103">
      <c r="A103" s="2" t="inlineStr">
        <is>
          <t>Transition</t>
        </is>
      </c>
      <c r="B103" s="2" t="inlineStr">
        <is>
          <t>Documentation</t>
        </is>
      </c>
      <c r="C103" s="2" t="inlineStr">
        <is>
          <t>User, administrator, architecture, support, deployment and operational documentation.</t>
        </is>
      </c>
      <c r="D103" s="3">
        <f>SUM(E103:L103)</f>
        <v/>
      </c>
      <c r="E103" s="3" t="n">
        <v>40</v>
      </c>
      <c r="F103" s="3" t="n">
        <v>40</v>
      </c>
      <c r="G103" s="3" t="n">
        <v>0</v>
      </c>
      <c r="H103" s="3" t="n">
        <v>40</v>
      </c>
      <c r="I103" s="3" t="n">
        <v>0</v>
      </c>
      <c r="J103" s="3" t="n">
        <v>40</v>
      </c>
      <c r="K103" s="3" t="n">
        <v>0</v>
      </c>
      <c r="L103" s="3" t="n">
        <v>0</v>
      </c>
    </row>
    <row r="104">
      <c r="A104" s="2" t="n"/>
      <c r="B104" s="2" t="n"/>
      <c r="C104" s="2" t="n"/>
      <c r="D104" s="3" t="n"/>
      <c r="E104" s="3" t="n"/>
      <c r="F104" s="3" t="n"/>
      <c r="G104" s="3" t="n"/>
      <c r="H104" s="3" t="n"/>
      <c r="I104" s="3" t="n"/>
      <c r="J104" s="3" t="n"/>
      <c r="K104" s="3" t="n"/>
      <c r="L104" s="3" t="n"/>
    </row>
    <row r="105">
      <c r="A105" s="18" t="inlineStr">
        <is>
          <t>Summary</t>
        </is>
      </c>
      <c r="B105" s="18" t="inlineStr">
        <is>
          <t>Base estimate before contingency</t>
        </is>
      </c>
      <c r="C105" s="18" t="inlineStr">
        <is>
          <t>Detailed tools replace the overlapping legacy allowances; subtotal rows are excluded.</t>
        </is>
      </c>
      <c r="D105" s="19">
        <f>SUM(D2,D3,D4,D5,D6,D7,D9,D12,D13,D14,D15,D16,D17,D18,D19,D20,D21,D22,D23,D24,D25,D26,D27,D28,D29,D30,D31,D32,D33,D36,D37,D38,D39,D40,D41,D42,D43,D44,D45,D46,D47,D48,D49,D52,D53,D54,D55,D56,D57,D58,D59,D60,D61,D62,D63,D66,D67,D68,D69,D70,D71,D72,D73,D74,D75,D76,D79,D80,D81,D82,D83,D84,D85,D86,D87,D88,D89,D90,D92,D93,D94,D95,D96,D97,D98,D99,D100,D101,D102,D103)</f>
        <v/>
      </c>
      <c r="E105" s="19">
        <f>SUM(E2,E3,E4,E5,E6,E7,E9,E12,E13,E14,E15,E16,E17,E18,E19,E20,E21,E22,E23,E24,E25,E26,E27,E28,E29,E30,E31,E32,E33,E36,E37,E38,E39,E40,E41,E42,E43,E44,E45,E46,E47,E48,E49,E52,E53,E54,E55,E56,E57,E58,E59,E60,E61,E62,E63,E66,E67,E68,E69,E70,E71,E72,E73,E74,E75,E76,E79,E80,E81,E82,E83,E84,E85,E86,E87,E88,E89,E90,E92,E93,E94,E95,E96,E97,E98,E99,E100,E101,E102,E103)</f>
        <v/>
      </c>
      <c r="F105" s="19">
        <f>SUM(F2,F3,F4,F5,F6,F7,F9,F12,F13,F14,F15,F16,F17,F18,F19,F20,F21,F22,F23,F24,F25,F26,F27,F28,F29,F30,F31,F32,F33,F36,F37,F38,F39,F40,F41,F42,F43,F44,F45,F46,F47,F48,F49,F52,F53,F54,F55,F56,F57,F58,F59,F60,F61,F62,F63,F66,F67,F68,F69,F70,F71,F72,F73,F74,F75,F76,F79,F80,F81,F82,F83,F84,F85,F86,F87,F88,F89,F90,F92,F93,F94,F95,F96,F97,F98,F99,F100,F101,F102,F103)</f>
        <v/>
      </c>
      <c r="G105" s="19">
        <f>SUM(G2,G3,G4,G5,G6,G7,G9,G12,G13,G14,G15,G16,G17,G18,G19,G20,G21,G22,G23,G24,G25,G26,G27,G28,G29,G30,G31,G32,G33,G36,G37,G38,G39,G40,G41,G42,G43,G44,G45,G46,G47,G48,G49,G52,G53,G54,G55,G56,G57,G58,G59,G60,G61,G62,G63,G66,G67,G68,G69,G70,G71,G72,G73,G74,G75,G76,G79,G80,G81,G82,G83,G84,G85,G86,G87,G88,G89,G90,G92,G93,G94,G95,G96,G97,G98,G99,G100,G101,G102,G103)</f>
        <v/>
      </c>
      <c r="H105" s="19">
        <f>SUM(H2,H3,H4,H5,H6,H7,H9,H12,H13,H14,H15,H16,H17,H18,H19,H20,H21,H22,H23,H24,H25,H26,H27,H28,H29,H30,H31,H32,H33,H36,H37,H38,H39,H40,H41,H42,H43,H44,H45,H46,H47,H48,H49,H52,H53,H54,H55,H56,H57,H58,H59,H60,H61,H62,H63,H66,H67,H68,H69,H70,H71,H72,H73,H74,H75,H76,H79,H80,H81,H82,H83,H84,H85,H86,H87,H88,H89,H90,H92,H93,H94,H95,H96,H97,H98,H99,H100,H101,H102,H103)</f>
        <v/>
      </c>
      <c r="I105" s="19">
        <f>SUM(I2,I3,I4,I5,I6,I7,I9,I12,I13,I14,I15,I16,I17,I18,I19,I20,I21,I22,I23,I24,I25,I26,I27,I28,I29,I30,I31,I32,I33,I36,I37,I38,I39,I40,I41,I42,I43,I44,I45,I46,I47,I48,I49,I52,I53,I54,I55,I56,I57,I58,I59,I60,I61,I62,I63,I66,I67,I68,I69,I70,I71,I72,I73,I74,I75,I76,I79,I80,I81,I82,I83,I84,I85,I86,I87,I88,I89,I90,I92,I93,I94,I95,I96,I97,I98,I99,I100,I101,I102,I103)</f>
        <v/>
      </c>
      <c r="J105" s="19">
        <f>SUM(J2,J3,J4,J5,J6,J7,J9,J12,J13,J14,J15,J16,J17,J18,J19,J20,J21,J22,J23,J24,J25,J26,J27,J28,J29,J30,J31,J32,J33,J36,J37,J38,J39,J40,J41,J42,J43,J44,J45,J46,J47,J48,J49,J52,J53,J54,J55,J56,J57,J58,J59,J60,J61,J62,J63,J66,J67,J68,J69,J70,J71,J72,J73,J74,J75,J76,J79,J80,J81,J82,J83,J84,J85,J86,J87,J88,J89,J90,J92,J93,J94,J95,J96,J97,J98,J99,J100,J101,J102,J103)</f>
        <v/>
      </c>
      <c r="K105" s="19">
        <f>SUM(K2,K3,K4,K5,K6,K7,K9,K12,K13,K14,K15,K16,K17,K18,K19,K20,K21,K22,K23,K24,K25,K26,K27,K28,K29,K30,K31,K32,K33,K36,K37,K38,K39,K40,K41,K42,K43,K44,K45,K46,K47,K48,K49,K52,K53,K54,K55,K56,K57,K58,K59,K60,K61,K62,K63,K66,K67,K68,K69,K70,K71,K72,K73,K74,K75,K76,K79,K80,K81,K82,K83,K84,K85,K86,K87,K88,K89,K90,K92,K93,K94,K95,K96,K97,K98,K99,K100,K101,K102,K103)</f>
        <v/>
      </c>
      <c r="L105" s="19">
        <f>SUM(L2,L3,L4,L5,L6,L7,L9,L12,L13,L14,L15,L16,L17,L18,L19,L20,L21,L22,L23,L24,L25,L26,L27,L28,L29,L30,L31,L32,L33,L36,L37,L38,L39,L40,L41,L42,L43,L44,L45,L46,L47,L48,L49,L52,L53,L54,L55,L56,L57,L58,L59,L60,L61,L62,L63,L66,L67,L68,L69,L70,L71,L72,L73,L74,L75,L76,L79,L80,L81,L82,L83,L84,L85,L86,L87,L88,L89,L90,L92,L93,L94,L95,L96,L97,L98,L99,L100,L101,L102,L103)</f>
        <v/>
      </c>
    </row>
    <row r="106">
      <c r="A106" s="18" t="inlineStr">
        <is>
          <t>Summary</t>
        </is>
      </c>
      <c r="B106" s="18" t="inlineStr">
        <is>
          <t>Contingency (20%)</t>
        </is>
      </c>
      <c r="C106" s="18" t="inlineStr">
        <is>
          <t>ROM contingency applied to the base estimate.</t>
        </is>
      </c>
      <c r="D106" s="19">
        <f>ROUND(D105*20%,0)</f>
        <v/>
      </c>
      <c r="E106" s="19" t="n">
        <v>292</v>
      </c>
      <c r="F106" s="19" t="n">
        <v>292</v>
      </c>
      <c r="G106" s="19" t="n">
        <v>116</v>
      </c>
      <c r="H106" s="19" t="n">
        <v>58</v>
      </c>
      <c r="I106" s="19" t="n">
        <v>175</v>
      </c>
      <c r="J106" s="19" t="n">
        <v>175</v>
      </c>
      <c r="K106" s="19" t="n">
        <v>0</v>
      </c>
      <c r="L106" s="19" t="n">
        <v>58</v>
      </c>
    </row>
    <row r="107">
      <c r="A107" s="20" t="inlineStr">
        <is>
          <t>Summary</t>
        </is>
      </c>
      <c r="B107" s="20" t="inlineStr">
        <is>
          <t>TOTAL INCLUDING CONTINGENCY</t>
        </is>
      </c>
      <c r="C107" s="20" t="inlineStr"/>
      <c r="D107" s="21">
        <f>D105+D106</f>
        <v/>
      </c>
      <c r="E107" s="21">
        <f>E105+E106</f>
        <v/>
      </c>
      <c r="F107" s="21">
        <f>F105+F106</f>
        <v/>
      </c>
      <c r="G107" s="21">
        <f>G105+G106</f>
        <v/>
      </c>
      <c r="H107" s="21">
        <f>H105+H106</f>
        <v/>
      </c>
      <c r="I107" s="21">
        <f>I105+I106</f>
        <v/>
      </c>
      <c r="J107" s="21">
        <f>J105+J106</f>
        <v/>
      </c>
      <c r="K107" s="21">
        <f>K105+K106</f>
        <v/>
      </c>
      <c r="L107" s="21">
        <f>L105+L106</f>
        <v/>
      </c>
    </row>
  </sheetData>
  <autoFilter ref="A1:L107"/>
  <pageMargins left="0.75" right="0.75" top="1" bottom="1" header="0.5" footer="0.5"/>
  <pageSetup orientation="landscape" fitToWidth="1"/>
</worksheet>
</file>

<file path=xl/worksheets/sheet2.xml><?xml version="1.0" encoding="utf-8"?>
<worksheet xmlns="http://schemas.openxmlformats.org/spreadsheetml/2006/main">
  <sheetPr>
    <outlinePr summaryBelow="1" summaryRight="1"/>
    <pageSetUpPr/>
  </sheetPr>
  <dimension ref="A1:J8"/>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c r="A1" s="22" t="inlineStr">
        <is>
          <t>Ribbon area</t>
        </is>
      </c>
      <c r="B1" s="22" t="inlineStr">
        <is>
          <t>Total</t>
        </is>
      </c>
      <c r="C1" s="22" t="inlineStr">
        <is>
          <t>Dev 1 - Frontend</t>
        </is>
      </c>
      <c r="D1" s="22" t="inlineStr">
        <is>
          <t>Dev 2 - Backend</t>
        </is>
      </c>
      <c r="E1" s="22" t="inlineStr">
        <is>
          <t>Dev 3 - Design</t>
        </is>
      </c>
      <c r="F1" s="22" t="inlineStr">
        <is>
          <t>Dev 3 - .NET</t>
        </is>
      </c>
      <c r="G1" s="22" t="inlineStr">
        <is>
          <t>Dev 4 - Testing</t>
        </is>
      </c>
      <c r="H1" s="22" t="inlineStr">
        <is>
          <t>PM</t>
        </is>
      </c>
      <c r="I1" s="22" t="inlineStr">
        <is>
          <t>CM</t>
        </is>
      </c>
      <c r="J1" s="22" t="inlineStr">
        <is>
          <t>PD</t>
        </is>
      </c>
    </row>
    <row r="2">
      <c r="A2" t="inlineStr">
        <is>
          <t>Search</t>
        </is>
      </c>
      <c r="B2">
        <f>'Integrated ROM'!D10</f>
        <v/>
      </c>
      <c r="C2">
        <f>'Integrated ROM'!E10</f>
        <v/>
      </c>
      <c r="D2">
        <f>'Integrated ROM'!F10</f>
        <v/>
      </c>
      <c r="E2">
        <f>'Integrated ROM'!G10</f>
        <v/>
      </c>
      <c r="F2">
        <f>'Integrated ROM'!H10</f>
        <v/>
      </c>
      <c r="G2">
        <f>'Integrated ROM'!I10</f>
        <v/>
      </c>
      <c r="H2">
        <f>'Integrated ROM'!J10</f>
        <v/>
      </c>
      <c r="I2">
        <f>'Integrated ROM'!K10</f>
        <v/>
      </c>
      <c r="J2">
        <f>'Integrated ROM'!L10</f>
        <v/>
      </c>
    </row>
    <row r="3">
      <c r="A3" t="inlineStr">
        <is>
          <t>Home Tab</t>
        </is>
      </c>
      <c r="B3">
        <f>'Integrated ROM'!D34</f>
        <v/>
      </c>
      <c r="C3">
        <f>'Integrated ROM'!E34</f>
        <v/>
      </c>
      <c r="D3">
        <f>'Integrated ROM'!F34</f>
        <v/>
      </c>
      <c r="E3">
        <f>'Integrated ROM'!G34</f>
        <v/>
      </c>
      <c r="F3">
        <f>'Integrated ROM'!H34</f>
        <v/>
      </c>
      <c r="G3">
        <f>'Integrated ROM'!I34</f>
        <v/>
      </c>
      <c r="H3">
        <f>'Integrated ROM'!J34</f>
        <v/>
      </c>
      <c r="I3">
        <f>'Integrated ROM'!K34</f>
        <v/>
      </c>
      <c r="J3">
        <f>'Integrated ROM'!L34</f>
        <v/>
      </c>
    </row>
    <row r="4">
      <c r="A4" t="inlineStr">
        <is>
          <t>Map Tab</t>
        </is>
      </c>
      <c r="B4">
        <f>'Integrated ROM'!D50</f>
        <v/>
      </c>
      <c r="C4">
        <f>'Integrated ROM'!E50</f>
        <v/>
      </c>
      <c r="D4">
        <f>'Integrated ROM'!F50</f>
        <v/>
      </c>
      <c r="E4">
        <f>'Integrated ROM'!G50</f>
        <v/>
      </c>
      <c r="F4">
        <f>'Integrated ROM'!H50</f>
        <v/>
      </c>
      <c r="G4">
        <f>'Integrated ROM'!I50</f>
        <v/>
      </c>
      <c r="H4">
        <f>'Integrated ROM'!J50</f>
        <v/>
      </c>
      <c r="I4">
        <f>'Integrated ROM'!K50</f>
        <v/>
      </c>
      <c r="J4">
        <f>'Integrated ROM'!L50</f>
        <v/>
      </c>
    </row>
    <row r="5">
      <c r="A5" t="inlineStr">
        <is>
          <t>Tools Tab</t>
        </is>
      </c>
      <c r="B5">
        <f>'Integrated ROM'!D64</f>
        <v/>
      </c>
      <c r="C5">
        <f>'Integrated ROM'!E64</f>
        <v/>
      </c>
      <c r="D5">
        <f>'Integrated ROM'!F64</f>
        <v/>
      </c>
      <c r="E5">
        <f>'Integrated ROM'!G64</f>
        <v/>
      </c>
      <c r="F5">
        <f>'Integrated ROM'!H64</f>
        <v/>
      </c>
      <c r="G5">
        <f>'Integrated ROM'!I64</f>
        <v/>
      </c>
      <c r="H5">
        <f>'Integrated ROM'!J64</f>
        <v/>
      </c>
      <c r="I5">
        <f>'Integrated ROM'!K64</f>
        <v/>
      </c>
      <c r="J5">
        <f>'Integrated ROM'!L64</f>
        <v/>
      </c>
    </row>
    <row r="6">
      <c r="A6" t="inlineStr">
        <is>
          <t>Advanced Tools Tab</t>
        </is>
      </c>
      <c r="B6">
        <f>'Integrated ROM'!D77</f>
        <v/>
      </c>
      <c r="C6">
        <f>'Integrated ROM'!E77</f>
        <v/>
      </c>
      <c r="D6">
        <f>'Integrated ROM'!F77</f>
        <v/>
      </c>
      <c r="E6">
        <f>'Integrated ROM'!G77</f>
        <v/>
      </c>
      <c r="F6">
        <f>'Integrated ROM'!H77</f>
        <v/>
      </c>
      <c r="G6">
        <f>'Integrated ROM'!I77</f>
        <v/>
      </c>
      <c r="H6">
        <f>'Integrated ROM'!J77</f>
        <v/>
      </c>
      <c r="I6">
        <f>'Integrated ROM'!K77</f>
        <v/>
      </c>
      <c r="J6">
        <f>'Integrated ROM'!L77</f>
        <v/>
      </c>
    </row>
    <row r="7">
      <c r="A7" t="inlineStr">
        <is>
          <t>Outside Toolbar</t>
        </is>
      </c>
      <c r="B7">
        <f>'Integrated ROM'!D91</f>
        <v/>
      </c>
      <c r="C7">
        <f>'Integrated ROM'!E91</f>
        <v/>
      </c>
      <c r="D7">
        <f>'Integrated ROM'!F91</f>
        <v/>
      </c>
      <c r="E7">
        <f>'Integrated ROM'!G91</f>
        <v/>
      </c>
      <c r="F7">
        <f>'Integrated ROM'!H91</f>
        <v/>
      </c>
      <c r="G7">
        <f>'Integrated ROM'!I91</f>
        <v/>
      </c>
      <c r="H7">
        <f>'Integrated ROM'!J91</f>
        <v/>
      </c>
      <c r="I7">
        <f>'Integrated ROM'!K91</f>
        <v/>
      </c>
      <c r="J7">
        <f>'Integrated ROM'!L91</f>
        <v/>
      </c>
    </row>
    <row r="8">
      <c r="A8" s="23" t="inlineStr">
        <is>
          <t>Total ribbon/tool effort</t>
        </is>
      </c>
      <c r="B8" s="23">
        <f>SUM(B2:B7)</f>
        <v/>
      </c>
      <c r="C8" s="23">
        <f>SUM(C2:C7)</f>
        <v/>
      </c>
      <c r="D8" s="23">
        <f>SUM(D2:D7)</f>
        <v/>
      </c>
      <c r="E8" s="23">
        <f>SUM(E2:E7)</f>
        <v/>
      </c>
      <c r="F8" s="23">
        <f>SUM(F2:F7)</f>
        <v/>
      </c>
      <c r="G8" s="23">
        <f>SUM(G2:G7)</f>
        <v/>
      </c>
      <c r="H8" s="23">
        <f>SUM(H2:H7)</f>
        <v/>
      </c>
      <c r="I8" s="23">
        <f>SUM(I2:I7)</f>
        <v/>
      </c>
      <c r="J8" s="23">
        <f>SUM(J2:J7)</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28" customWidth="1" min="1" max="1"/>
    <col width="120" customWidth="1" min="2" max="2"/>
  </cols>
  <sheetData>
    <row r="1">
      <c r="A1" s="24" t="inlineStr">
        <is>
          <t>DTP Production Application ROM</t>
        </is>
      </c>
      <c r="B1" s="24" t="inlineStr">
        <is>
          <t>Prepared 21 September 2026</t>
        </is>
      </c>
    </row>
    <row r="2">
      <c r="A2" s="25" t="inlineStr">
        <is>
          <t>Architecture</t>
        </is>
      </c>
      <c r="B2" s="25" t="inlineStr">
        <is>
          <t>MapLibre + React frontend, FastAPI spatial API, PostGIS, AWS-hosted services and cached vector tiles.</t>
        </is>
      </c>
    </row>
    <row r="3">
      <c r="A3" s="25" t="inlineStr">
        <is>
          <t>Estimate type</t>
        </is>
      </c>
      <c r="B3" s="25" t="inlineStr">
        <is>
          <t>First-pass person-hour ROM, generally rounded to 8-hour increments, with approximately ±30% uncertainty before requirements validation.</t>
        </is>
      </c>
    </row>
    <row r="4">
      <c r="A4" s="25" t="inlineStr">
        <is>
          <t>Tool reuse</t>
        </is>
      </c>
      <c r="B4" s="25" t="inlineStr">
        <is>
          <t>A capability appearing in multiple ribbon tabs is implemented once. Secondary appearances are estimated as small shared launchers.</t>
        </is>
      </c>
    </row>
    <row r="5">
      <c r="A5" s="25" t="inlineStr">
        <is>
          <t>PM treatment</t>
        </is>
      </c>
      <c r="B5" s="25" t="inlineStr">
        <is>
          <t>The detailed ribbon estimates are preserved from the agreed tables. Tool-level PM is covered by the project governance and delivery-management allowances rather than added to every tool.</t>
        </is>
      </c>
    </row>
    <row r="6">
      <c r="A6" s="25" t="inlineStr">
        <is>
          <t>Reconciliation</t>
        </is>
      </c>
      <c r="B6" s="25" t="inlineStr">
        <is>
          <t>The detailed ribbon estimates replace the former Map controls and application panels, Print and reporting service, Map rendering and symbology, Data catalogue, and VicPlan and Radius business workflows rows to avoid double counting.</t>
        </is>
      </c>
    </row>
    <row r="7">
      <c r="A7" s="25" t="inlineStr">
        <is>
          <t>Excluded / validate</t>
        </is>
      </c>
      <c r="B7" s="25" t="inlineStr">
        <is>
          <t>Third-party licence costs, data remediation at unknown scale, external service procurement, production support beyond warranty, and material scope changes are not included unless explicitly represented.</t>
        </is>
      </c>
    </row>
    <row r="8">
      <c r="A8" s="25" t="inlineStr">
        <is>
          <t>Contingency</t>
        </is>
      </c>
      <c r="B8" s="25" t="inlineStr">
        <is>
          <t>20% applied to the calculated base estimate. Change this percentage after discovery and risk review.</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Check</t>
        </is>
      </c>
      <c r="B1" t="inlineStr">
        <is>
          <t>Formula</t>
        </is>
      </c>
      <c r="C1" t="inlineStr">
        <is>
          <t>Expected</t>
        </is>
      </c>
    </row>
    <row r="2">
      <c r="A2" t="inlineStr">
        <is>
          <t>Ribbon total</t>
        </is>
      </c>
      <c r="B2">
        <f>'Ribbon Summary'!B8</f>
        <v/>
      </c>
      <c r="C2" t="n">
        <v>3720</v>
      </c>
    </row>
    <row r="3">
      <c r="A3" t="inlineStr">
        <is>
          <t>Base total</t>
        </is>
      </c>
      <c r="B3">
        <f>'Integrated ROM'!D105</f>
        <v/>
      </c>
      <c r="C3" t="n">
        <v>5828</v>
      </c>
    </row>
    <row r="4">
      <c r="A4" t="inlineStr">
        <is>
          <t>Contingency</t>
        </is>
      </c>
      <c r="B4">
        <f>'Integrated ROM'!D106</f>
        <v/>
      </c>
      <c r="C4" t="n">
        <v>1166</v>
      </c>
    </row>
    <row r="5">
      <c r="A5" t="inlineStr">
        <is>
          <t>Grand total</t>
        </is>
      </c>
      <c r="B5">
        <f>'Integrated ROM'!D107</f>
        <v/>
      </c>
      <c r="C5" t="n">
        <v>6994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2026-09-21T00:41:49Z</dcterms:created>
  <dcterms:modified xsi:type="dcterms:W3CDTF">2026-09-21T01:00:03Z</dcterms:modified>
</cp:coreProperties>
</file>